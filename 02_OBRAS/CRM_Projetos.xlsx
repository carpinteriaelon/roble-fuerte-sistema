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Pipeline" sheetId="2" r:id="rId2"/>
    <sheet name="Ficha_Proje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"/>
    <numFmt numFmtId="166" formatCode="#,##0&quot; €&quot;"/>
    <numFmt numFmtId="167" formatCode="yyyy\-mm\-dd"/>
    <numFmt numFmtId="168" formatCode="#,##0.00&quot; €&quot;"/>
    <numFmt numFmtId="169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 rightToLeft="0"/>
  </sheetViews>
  <sheetData>
    <row r="1">
      <c r="A1" s="1" t="str">
        <v>DASHBOARD DE PROJETOS — Roble Fuerte</v>
      </c>
    </row>
    <row r="3">
      <c r="A3" s="1" t="str">
        <v>PROJETOS POR STATUS</v>
      </c>
    </row>
    <row r="4">
      <c r="A4" s="1" t="str">
        <v>Novo Lead</v>
      </c>
      <c r="C4" s="1" t="str">
        <v>Orçamento Enviado</v>
      </c>
      <c r="E4" s="1" t="str">
        <v>Aguardando Aprovação</v>
      </c>
    </row>
    <row r="5">
      <c r="A5" s="1">
        <f>COUNTIF(Pipeline!G5:G105,"Novo Lead")</f>
        <v>1</v>
      </c>
      <c r="C5" s="1">
        <f>COUNTIF(Pipeline!G5:G105,"Orçamento Enviado")</f>
        <v>1</v>
      </c>
      <c r="E5" s="1">
        <f>COUNTIF(Pipeline!G5:G105,"Aguardando Aprovação")</f>
        <v>0</v>
      </c>
    </row>
    <row r="6">
      <c r="A6" s="1" t="str">
        <v>Aprovado</v>
      </c>
      <c r="C6" s="1" t="str">
        <v>Produção</v>
      </c>
      <c r="E6" s="1" t="str">
        <v>Lacado</v>
      </c>
    </row>
    <row r="7">
      <c r="A7" s="1">
        <f>COUNTIF(Pipeline!G5:G105,"Aprovado")</f>
        <v>1</v>
      </c>
      <c r="C7" s="1">
        <f>COUNTIF(Pipeline!G5:G105,"Produção")</f>
        <v>1</v>
      </c>
      <c r="E7" s="1">
        <f>COUNTIF(Pipeline!G5:G105,"Lacado")</f>
        <v>1</v>
      </c>
    </row>
    <row r="8">
      <c r="A8" s="1" t="str">
        <v>Montagem</v>
      </c>
      <c r="C8" s="1" t="str">
        <v>Finalizado</v>
      </c>
      <c r="E8" s="1" t="str">
        <v>Pós-venda</v>
      </c>
    </row>
    <row r="9">
      <c r="A9" s="1">
        <f>COUNTIF(Pipeline!G5:G105,"Montagem")</f>
        <v>1</v>
      </c>
      <c r="C9" s="1">
        <f>COUNTIF(Pipeline!G5:G105,"Finalizado")</f>
        <v>1</v>
      </c>
      <c r="E9" s="1">
        <f>COUNTIF(Pipeline!G5:G105,"Pós-venda")</f>
        <v>0</v>
      </c>
    </row>
    <row r="11">
      <c r="A11" s="1" t="str">
        <v>INDICADORES GERAIS</v>
      </c>
    </row>
    <row r="12">
      <c r="A12" s="1" t="str">
        <v>Total Projetos Ativos</v>
      </c>
      <c r="C12" s="1" t="str">
        <v>Valor em Pipeline (€)</v>
      </c>
      <c r="E12" s="1" t="str">
        <v>Projetos Atrasados</v>
      </c>
    </row>
    <row r="13">
      <c r="A13" s="1">
        <f>COUNTA(Pipeline!A5:A105)-COUNTIF(Pipeline!G5:G105,"Finalizado")-COUNTIF(Pipeline!G5:G105,"Cancelado")</f>
        <v>6</v>
      </c>
      <c r="C13" s="1">
        <f>SUMIFS(Pipeline!F5:F105,Pipeline!G5:G105,"&lt;&gt;Cancelado",Pipeline!G5:G105,"&lt;&gt;Finalizado")</f>
        <v>60800</v>
      </c>
      <c r="E13" s="1">
        <f>COUNTIF(Pipeline!N5:N105,"🔴 SIM")</f>
        <v>0</v>
      </c>
    </row>
    <row r="14">
      <c r="A14" s="1" t="str">
        <v>Ticket Médio (€)</v>
      </c>
      <c r="C14" s="1" t="str">
        <v>Finalizados (mês)</v>
      </c>
      <c r="E14" s="1" t="str">
        <v>Em Produção</v>
      </c>
    </row>
    <row r="15">
      <c r="A15" s="1">
        <f>IFERROR(AVERAGEIF(Pipeline!F5:F105,"&gt;0"),0)</f>
        <v>9657.14285714286</v>
      </c>
      <c r="C15" s="1">
        <f>COUNTIFS(Pipeline!G5:G105,"Finalizado")</f>
        <v>1</v>
      </c>
      <c r="E15" s="1">
        <f>COUNTIF(Pipeline!G5:G105,"Produção")+COUNTIF(Pipeline!G5:G105,"Lacado")+COUNTIF(Pipeline!G5:G105,"Montagem")</f>
        <v>3</v>
      </c>
    </row>
    <row r="19">
      <c r="A19" s="1" t="str">
        <v>AÇÃO RECOMENDADA</v>
      </c>
    </row>
    <row r="20">
      <c r="A20" s="1" t="str">
        <f>IF(E16&gt;0,"🔴 Você tem projetos ATRASADOS — abra a aba Pipeline e priorize os marcados em vermelho","🟢 Nenhum projeto atrasado — siga o ritmo de produção")</f>
        <v>🟢 Nenhum projeto atrasado — siga o ritmo de produção</v>
      </c>
    </row>
  </sheetData>
  <mergeCells count="32">
    <mergeCell ref="A1:F1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20:F20"/>
  </mergeCells>
  <pageMargins left="0.75" right="0.75" top="1" bottom="1" header="0.511811023622047" footer="0.511811023622047"/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07"/>
  <sheetViews>
    <sheetView workbookViewId="0" rightToLeft="0"/>
  </sheetViews>
  <sheetData>
    <row r="1">
      <c r="A1" s="1" t="str">
        <v>PIPELINE DE PROJETOS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</row>
    <row r="2">
      <c r="A2" s="1" t="str">
        <v>CRM de obras — do primeiro contato até o pós-venda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>Valor total em pipeline:</v>
      </c>
      <c r="F3" s="1">
        <v>60800</v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/>
      </c>
      <c r="O3" s="1" t="str">
        <v/>
      </c>
      <c r="P3" s="1" t="str">
        <v/>
      </c>
      <c r="Q3" s="1" t="str">
        <v/>
      </c>
      <c r="R3" s="1" t="str">
        <v/>
      </c>
    </row>
    <row r="4">
      <c r="A4" s="1" t="str">
        <v>ID</v>
      </c>
      <c r="B4" s="1" t="str">
        <v>Cliente</v>
      </c>
      <c r="C4" s="1" t="str">
        <v>Tipo Cliente</v>
      </c>
      <c r="D4" s="1" t="str">
        <v>Tipo Projeto</v>
      </c>
      <c r="E4" s="1" t="str">
        <v>Descrição Curta</v>
      </c>
      <c r="F4" s="1" t="str">
        <v>Valor Orçamento (€)</v>
      </c>
      <c r="G4" s="1" t="str">
        <v>Status</v>
      </c>
      <c r="H4" s="1" t="str">
        <v>Data Entrada</v>
      </c>
      <c r="I4" s="1" t="str">
        <v>Prev. Entrega</v>
      </c>
      <c r="J4" s="1" t="str">
        <v>Equipe Resp.</v>
      </c>
      <c r="K4" s="1" t="str">
        <v>Prioridade</v>
      </c>
      <c r="L4" s="1" t="str">
        <v>Próxima Ação</v>
      </c>
      <c r="M4" s="1" t="str">
        <v>Dias no Status</v>
      </c>
      <c r="N4" s="1" t="str">
        <v>Atrasado?</v>
      </c>
      <c r="O4" s="1" t="str">
        <v>Data Factura Cliente</v>
      </c>
      <c r="P4" s="1" t="str">
        <v>Início de Obra</v>
      </c>
      <c r="Q4" s="1" t="str">
        <v>Data de Entrega</v>
      </c>
      <c r="R4" s="1" t="str">
        <v>Data Limite</v>
      </c>
    </row>
    <row r="5">
      <c r="A5" s="1" t="str">
        <v>P-002</v>
      </c>
      <c r="B5" s="1" t="str">
        <v>Estudio ABC</v>
      </c>
      <c r="C5" s="1" t="str">
        <v>Arquiteto</v>
      </c>
      <c r="D5" s="1" t="str">
        <v>Portas lacadas</v>
      </c>
      <c r="E5" s="1" t="str">
        <v>Obra Goya 12 — 18 portas brancas</v>
      </c>
      <c r="F5" s="1" t="str">
        <v>ARMARIO HAB PRINCIPAL</v>
      </c>
      <c r="G5" s="1" t="str">
        <v>Lacado</v>
      </c>
      <c r="H5" s="1" t="str">
        <v>2026-04-15</v>
      </c>
      <c r="I5" s="1" t="str">
        <v>2026-06-05</v>
      </c>
      <c r="J5" s="1" t="str">
        <v>Equipe B</v>
      </c>
      <c r="K5" s="1" t="str">
        <v>Alta</v>
      </c>
      <c r="L5" s="1" t="str">
        <v>FABRICAR PUERTAS CORREDERAS LACADAS EN 9010</v>
      </c>
      <c r="M5" s="1">
        <v>30</v>
      </c>
      <c r="N5" s="1" t="str">
        <v>🟢 NÃO</v>
      </c>
      <c r="O5" s="1" t="str">
        <v/>
      </c>
      <c r="P5" s="1" t="str">
        <v/>
      </c>
      <c r="Q5" s="1" t="str">
        <v/>
      </c>
      <c r="R5" s="1" t="str">
        <v/>
      </c>
    </row>
    <row r="6">
      <c r="A6" s="1" t="str">
        <v>P-003</v>
      </c>
      <c r="B6" s="1" t="str">
        <v>Reformas López</v>
      </c>
      <c r="C6" s="1" t="str">
        <v>Reformista</v>
      </c>
      <c r="D6" s="1" t="str">
        <v>Portas enrasadas</v>
      </c>
      <c r="E6" s="1" t="str">
        <v>12 portas pack reformista</v>
      </c>
      <c r="F6" s="1">
        <v>6800</v>
      </c>
      <c r="G6" s="1" t="str">
        <v>Finalizado</v>
      </c>
      <c r="H6" s="1" t="str">
        <v>2026-03-01</v>
      </c>
      <c r="I6" s="1" t="str">
        <v>2026-04-15</v>
      </c>
      <c r="J6" s="1" t="str">
        <v>Equipe A</v>
      </c>
      <c r="K6" s="1" t="str">
        <v>Média</v>
      </c>
      <c r="L6" s="1" t="str">
        <v>Pós-venda 30d</v>
      </c>
      <c r="M6" s="1">
        <v>75</v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</row>
    <row r="7">
      <c r="A7" s="1" t="str">
        <v>P-004</v>
      </c>
      <c r="B7" s="1" t="str">
        <v>DECORE - ERASO 34</v>
      </c>
      <c r="C7" s="1" t="str">
        <v>Construtora</v>
      </c>
      <c r="D7" s="1" t="str">
        <v>Armários sob medida</v>
      </c>
      <c r="E7" s="1" t="str">
        <v>3 unidades edifício Chamberí</v>
      </c>
      <c r="F7" s="1" t="str">
        <v>ARMARIOS NOVOS/ EXISTENTES</v>
      </c>
      <c r="G7" s="1" t="str">
        <v>Aprovado</v>
      </c>
      <c r="H7" s="1" t="str">
        <v>2026-04-25</v>
      </c>
      <c r="I7" s="1" t="str">
        <v>2026-07-30</v>
      </c>
      <c r="J7" s="1" t="str">
        <v>Equipe A+B</v>
      </c>
      <c r="K7" s="1" t="str">
        <v>Alta</v>
      </c>
      <c r="L7" s="1" t="str">
        <v>Iniciar produção</v>
      </c>
      <c r="M7" s="1">
        <v>20</v>
      </c>
      <c r="N7" s="1" t="str">
        <v>🟢 NÃO</v>
      </c>
      <c r="O7" s="1" t="str">
        <v>2026-05-20</v>
      </c>
      <c r="P7" s="1" t="str">
        <v>2026-05-25</v>
      </c>
      <c r="Q7" s="1" t="str">
        <v>2026-06-15</v>
      </c>
      <c r="R7" s="1" t="str">
        <v>2026-06-20</v>
      </c>
    </row>
    <row r="8">
      <c r="A8" s="1" t="str">
        <v>P-005</v>
      </c>
      <c r="B8" s="1" t="str">
        <v>Pedro Martínez</v>
      </c>
      <c r="C8" s="1" t="str">
        <v>Cliente Final</v>
      </c>
      <c r="D8" s="1" t="str">
        <v>Porta corredera</v>
      </c>
      <c r="E8" s="1" t="str">
        <v>Porta corredera + armário closet</v>
      </c>
      <c r="F8" s="1" t="str">
        <v>ARMARIO ROPA BLANCA</v>
      </c>
      <c r="G8" s="1" t="str">
        <v>Montagem</v>
      </c>
      <c r="H8" s="1" t="str">
        <v>2026-04-10</v>
      </c>
      <c r="I8" s="1" t="str">
        <v>2026-05-20</v>
      </c>
      <c r="J8" s="1" t="str">
        <v>Equipe B</v>
      </c>
      <c r="K8" s="1" t="str">
        <v>Média</v>
      </c>
      <c r="L8" s="1" t="str">
        <v>Agendar montagem</v>
      </c>
      <c r="M8" s="1">
        <v>35</v>
      </c>
      <c r="N8" s="1" t="str">
        <v>🟢 NÃO</v>
      </c>
      <c r="O8" s="1" t="str">
        <v/>
      </c>
      <c r="P8" s="1" t="str">
        <v/>
      </c>
      <c r="Q8" s="1" t="str">
        <v/>
      </c>
      <c r="R8" s="1" t="str">
        <v/>
      </c>
    </row>
    <row r="9">
      <c r="A9" s="1" t="str">
        <v>P-006</v>
      </c>
      <c r="B9" s="1" t="str">
        <v>Arq. Fernández</v>
      </c>
      <c r="C9" s="1" t="str">
        <v>Arquiteto</v>
      </c>
      <c r="D9" s="1" t="str">
        <v>Mobiliário sob medida</v>
      </c>
      <c r="E9" s="1" t="str">
        <v>Sala estar — móvel TV + estantes</v>
      </c>
      <c r="F9" s="1">
        <v>9800</v>
      </c>
      <c r="G9" s="1" t="str">
        <v>Orçamento Enviado</v>
      </c>
      <c r="H9" s="1" t="str">
        <v>2026-05-08</v>
      </c>
      <c r="I9" s="1" t="str">
        <v>2026-07-15</v>
      </c>
      <c r="J9" s="1" t="str">
        <v>A definir</v>
      </c>
      <c r="K9" s="1" t="str">
        <v>Média</v>
      </c>
      <c r="L9" s="1" t="str">
        <v>Follow-up cliente</v>
      </c>
      <c r="M9" s="1">
        <v>7</v>
      </c>
      <c r="N9" s="1" t="str">
        <v>🟢 NÃO</v>
      </c>
      <c r="O9" s="1" t="str">
        <v/>
      </c>
      <c r="P9" s="1" t="str">
        <v/>
      </c>
      <c r="Q9" s="1" t="str">
        <v/>
      </c>
      <c r="R9" s="1" t="str">
        <v/>
      </c>
    </row>
    <row r="10">
      <c r="A10" s="1" t="str">
        <v>P-007</v>
      </c>
      <c r="B10" s="1" t="str">
        <v>Laura Sánchez</v>
      </c>
      <c r="C10" s="1" t="str">
        <v>Cliente Final</v>
      </c>
      <c r="D10" s="1" t="str">
        <v>Armário sob medida</v>
      </c>
      <c r="E10" s="1" t="str">
        <v>Closet master 4x2.6m</v>
      </c>
      <c r="F10" s="1">
        <v>5400</v>
      </c>
      <c r="G10" s="1" t="str">
        <v>Novo Lead</v>
      </c>
      <c r="H10" s="1" t="str">
        <v>2026-05-12</v>
      </c>
      <c r="I10" s="1" t="str">
        <v>2026-07-20</v>
      </c>
      <c r="J10" s="1" t="str">
        <v>A definir</v>
      </c>
      <c r="K10" s="1" t="str">
        <v>Alta</v>
      </c>
      <c r="L10" s="1" t="str">
        <v>Visita técnica</v>
      </c>
      <c r="M10" s="1">
        <v>3</v>
      </c>
      <c r="N10" s="1" t="str">
        <v>🟢 NÃO</v>
      </c>
      <c r="O10" s="1" t="str">
        <v/>
      </c>
      <c r="P10" s="1" t="str">
        <v/>
      </c>
      <c r="Q10" s="1" t="str">
        <v/>
      </c>
      <c r="R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/>
      </c>
      <c r="R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/>
      </c>
      <c r="R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/>
      </c>
      <c r="M54" s="1" t="str">
        <v/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/>
      </c>
      <c r="R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/>
      </c>
      <c r="Q64" s="1" t="str">
        <v/>
      </c>
      <c r="R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/>
      </c>
      <c r="R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/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  <c r="L72" s="1" t="str">
        <v/>
      </c>
      <c r="M72" s="1" t="str">
        <v/>
      </c>
      <c r="N72" s="1" t="str">
        <v/>
      </c>
      <c r="O72" s="1" t="str">
        <v/>
      </c>
      <c r="P72" s="1" t="str">
        <v/>
      </c>
      <c r="Q72" s="1" t="str">
        <v/>
      </c>
      <c r="R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  <c r="L73" s="1" t="str">
        <v/>
      </c>
      <c r="M73" s="1" t="str">
        <v/>
      </c>
      <c r="N73" s="1" t="str">
        <v/>
      </c>
      <c r="O73" s="1" t="str">
        <v/>
      </c>
      <c r="P73" s="1" t="str">
        <v/>
      </c>
      <c r="Q73" s="1" t="str">
        <v/>
      </c>
      <c r="R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  <c r="L74" s="1" t="str">
        <v/>
      </c>
      <c r="M74" s="1" t="str">
        <v/>
      </c>
      <c r="N74" s="1" t="str">
        <v/>
      </c>
      <c r="O74" s="1" t="str">
        <v/>
      </c>
      <c r="P74" s="1" t="str">
        <v/>
      </c>
      <c r="Q74" s="1" t="str">
        <v/>
      </c>
      <c r="R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  <c r="L75" s="1" t="str">
        <v/>
      </c>
      <c r="M75" s="1" t="str">
        <v/>
      </c>
      <c r="N75" s="1" t="str">
        <v/>
      </c>
      <c r="O75" s="1" t="str">
        <v/>
      </c>
      <c r="P75" s="1" t="str">
        <v/>
      </c>
      <c r="Q75" s="1" t="str">
        <v/>
      </c>
      <c r="R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  <c r="L76" s="1" t="str">
        <v/>
      </c>
      <c r="M76" s="1" t="str">
        <v/>
      </c>
      <c r="N76" s="1" t="str">
        <v/>
      </c>
      <c r="O76" s="1" t="str">
        <v/>
      </c>
      <c r="P76" s="1" t="str">
        <v/>
      </c>
      <c r="Q76" s="1" t="str">
        <v/>
      </c>
      <c r="R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  <c r="L77" s="1" t="str">
        <v/>
      </c>
      <c r="M77" s="1" t="str">
        <v/>
      </c>
      <c r="N77" s="1" t="str">
        <v/>
      </c>
      <c r="O77" s="1" t="str">
        <v/>
      </c>
      <c r="P77" s="1" t="str">
        <v/>
      </c>
      <c r="Q77" s="1" t="str">
        <v/>
      </c>
      <c r="R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  <c r="L78" s="1" t="str">
        <v/>
      </c>
      <c r="M78" s="1" t="str">
        <v/>
      </c>
      <c r="N78" s="1" t="str">
        <v/>
      </c>
      <c r="O78" s="1" t="str">
        <v/>
      </c>
      <c r="P78" s="1" t="str">
        <v/>
      </c>
      <c r="Q78" s="1" t="str">
        <v/>
      </c>
      <c r="R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/>
      </c>
      <c r="Q79" s="1" t="str">
        <v/>
      </c>
      <c r="R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  <c r="L80" s="1" t="str">
        <v/>
      </c>
      <c r="M80" s="1" t="str">
        <v/>
      </c>
      <c r="N80" s="1" t="str">
        <v/>
      </c>
      <c r="O80" s="1" t="str">
        <v/>
      </c>
      <c r="P80" s="1" t="str">
        <v/>
      </c>
      <c r="Q80" s="1" t="str">
        <v/>
      </c>
      <c r="R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  <c r="L81" s="1" t="str">
        <v/>
      </c>
      <c r="M81" s="1" t="str">
        <v/>
      </c>
      <c r="N81" s="1" t="str">
        <v/>
      </c>
      <c r="O81" s="1" t="str">
        <v/>
      </c>
      <c r="P81" s="1" t="str">
        <v/>
      </c>
      <c r="Q81" s="1" t="str">
        <v/>
      </c>
      <c r="R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  <c r="L82" s="1" t="str">
        <v/>
      </c>
      <c r="M82" s="1" t="str">
        <v/>
      </c>
      <c r="N82" s="1" t="str">
        <v/>
      </c>
      <c r="O82" s="1" t="str">
        <v/>
      </c>
      <c r="P82" s="1" t="str">
        <v/>
      </c>
      <c r="Q82" s="1" t="str">
        <v/>
      </c>
      <c r="R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  <c r="L83" s="1" t="str">
        <v/>
      </c>
      <c r="M83" s="1" t="str">
        <v/>
      </c>
      <c r="N83" s="1" t="str">
        <v/>
      </c>
      <c r="O83" s="1" t="str">
        <v/>
      </c>
      <c r="P83" s="1" t="str">
        <v/>
      </c>
      <c r="Q83" s="1" t="str">
        <v/>
      </c>
      <c r="R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  <c r="L85" s="1" t="str">
        <v/>
      </c>
      <c r="M85" s="1" t="str">
        <v/>
      </c>
      <c r="N85" s="1" t="str">
        <v/>
      </c>
      <c r="O85" s="1" t="str">
        <v/>
      </c>
      <c r="P85" s="1" t="str">
        <v/>
      </c>
      <c r="Q85" s="1" t="str">
        <v/>
      </c>
      <c r="R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/>
      </c>
      <c r="O101" s="1" t="str">
        <v/>
      </c>
      <c r="P101" s="1" t="str">
        <v/>
      </c>
      <c r="Q101" s="1" t="str">
        <v/>
      </c>
      <c r="R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  <c r="K102" s="1" t="str">
        <v/>
      </c>
      <c r="L102" s="1" t="str">
        <v/>
      </c>
      <c r="M102" s="1" t="str">
        <v/>
      </c>
      <c r="N102" s="1" t="str">
        <v/>
      </c>
      <c r="O102" s="1" t="str">
        <v/>
      </c>
      <c r="P102" s="1" t="str">
        <v/>
      </c>
      <c r="Q102" s="1" t="str">
        <v/>
      </c>
      <c r="R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  <c r="K103" s="1" t="str">
        <v/>
      </c>
      <c r="L103" s="1" t="str">
        <v/>
      </c>
      <c r="M103" s="1" t="str">
        <v/>
      </c>
      <c r="N103" s="1" t="str">
        <v/>
      </c>
      <c r="O103" s="1" t="str">
        <v/>
      </c>
      <c r="P103" s="1" t="str">
        <v/>
      </c>
      <c r="Q103" s="1" t="str">
        <v/>
      </c>
      <c r="R103" s="1" t="str">
        <v/>
      </c>
    </row>
    <row r="104">
      <c r="A104" s="1" t="str">
        <v>P-008</v>
      </c>
      <c r="B104" s="1" t="str">
        <v/>
      </c>
      <c r="C104" s="1" t="str">
        <v/>
      </c>
      <c r="D104" s="1" t="str">
        <v>DDED</v>
      </c>
      <c r="E104" s="1" t="str">
        <v/>
      </c>
      <c r="F104" s="1" t="str">
        <v>ARMARIO PASILLO</v>
      </c>
      <c r="G104" s="1" t="str">
        <v>Produção</v>
      </c>
      <c r="H104" s="1" t="str">
        <v/>
      </c>
      <c r="I104" s="1" t="str">
        <v>2026-05-09</v>
      </c>
      <c r="J104" s="1" t="str">
        <v/>
      </c>
      <c r="K104" s="1" t="str">
        <v/>
      </c>
      <c r="L104" s="1" t="str">
        <v>FABRICAR ARMARIO LACADAS EN 9010</v>
      </c>
      <c r="M104" s="1" t="str">
        <v/>
      </c>
      <c r="N104" s="1" t="str">
        <v/>
      </c>
      <c r="O104" s="1" t="str">
        <v/>
      </c>
      <c r="P104" s="1" t="str">
        <v/>
      </c>
      <c r="Q104" s="1" t="str">
        <v/>
      </c>
      <c r="R104" s="1" t="str">
        <v/>
      </c>
    </row>
    <row r="105">
      <c r="A105" s="1" t="str">
        <v>P-012</v>
      </c>
      <c r="B105" s="1" t="str">
        <v>OBRA - ALTAMIRANO</v>
      </c>
      <c r="C105" s="1" t="str">
        <v/>
      </c>
      <c r="D105" s="1" t="str">
        <v/>
      </c>
      <c r="E105" s="1" t="str">
        <v/>
      </c>
      <c r="F105" s="1" t="str">
        <v>ARMARIOS + VENTANAS</v>
      </c>
      <c r="G105" s="1" t="str">
        <v>Aprovado</v>
      </c>
      <c r="H105" s="1" t="str">
        <v/>
      </c>
      <c r="I105" s="1" t="str">
        <v/>
      </c>
      <c r="J105" s="1" t="str">
        <v/>
      </c>
      <c r="K105" s="1" t="str">
        <v/>
      </c>
      <c r="L105" s="1" t="str">
        <v/>
      </c>
      <c r="M105" s="1" t="str">
        <v/>
      </c>
      <c r="N105" s="1" t="str">
        <v/>
      </c>
      <c r="O105" s="1" t="str">
        <v>2026-05-21</v>
      </c>
      <c r="P105" s="1" t="str">
        <v>2026-05-26</v>
      </c>
      <c r="Q105" s="1" t="str">
        <v>2026-06-15</v>
      </c>
      <c r="R105" s="1" t="str">
        <v>2026-06-20</v>
      </c>
    </row>
    <row r="106">
      <c r="A106" s="1" t="str">
        <v>P-027</v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>Produção</v>
      </c>
      <c r="H106" s="1" t="str">
        <v/>
      </c>
      <c r="I106" s="1" t="str">
        <v/>
      </c>
      <c r="J106" s="1" t="str">
        <v/>
      </c>
      <c r="K106" s="1" t="str">
        <v/>
      </c>
      <c r="L106" s="1" t="str">
        <v/>
      </c>
      <c r="M106" s="1" t="str">
        <v/>
      </c>
      <c r="N106" s="1" t="str">
        <v/>
      </c>
      <c r="O106" s="1" t="str">
        <v/>
      </c>
      <c r="P106" s="1" t="str">
        <v/>
      </c>
      <c r="Q106" s="1" t="str">
        <v/>
      </c>
      <c r="R106" s="1" t="str">
        <v/>
      </c>
    </row>
    <row r="107">
      <c r="A107" s="1" t="str">
        <v>P-028</v>
      </c>
      <c r="B107" s="1" t="str">
        <v>OBRA AOM PROYECTOS</v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>Aprovado</v>
      </c>
      <c r="H107" s="1" t="str">
        <v/>
      </c>
      <c r="I107" s="1" t="str">
        <v/>
      </c>
      <c r="J107" s="1" t="str">
        <v/>
      </c>
      <c r="K107" s="1" t="str">
        <v/>
      </c>
      <c r="L107" s="1" t="str">
        <v/>
      </c>
      <c r="M107" s="1" t="str">
        <v/>
      </c>
      <c r="N107" s="1" t="str">
        <v/>
      </c>
      <c r="O107" s="1" t="str">
        <v>2026-05-21</v>
      </c>
      <c r="P107" s="1" t="str">
        <v>2026-05-27</v>
      </c>
      <c r="Q107" s="1" t="str">
        <v/>
      </c>
      <c r="R107" s="1" t="str">
        <v>2026-06-30</v>
      </c>
    </row>
  </sheetData>
  <ignoredErrors>
    <ignoredError numberStoredAsText="1" sqref="A1:R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 rightToLeft="0"/>
  </sheetViews>
  <sheetData>
    <row r="1">
      <c r="A1" s="1" t="str">
        <v>FICHA DETALHADA DO PROJETO</v>
      </c>
    </row>
    <row r="2">
      <c r="A2" s="1" t="str">
        <v>Template — duplicar esta aba (clic direito → Mover ou Copiar) para cada projeto novo</v>
      </c>
    </row>
    <row r="4">
      <c r="A4" s="1" t="str">
        <v>🆔 IDENTIFICAÇÃO</v>
      </c>
    </row>
    <row r="5">
      <c r="A5" s="1" t="str">
        <v>ID Projeto</v>
      </c>
      <c r="B5" s="1" t="str">
        <v>P-XXX</v>
      </c>
      <c r="C5" s="1" t="str">
        <v>Data Entrada</v>
      </c>
      <c r="E5" s="1" t="str">
        <v>Status</v>
      </c>
      <c r="F5" s="1" t="str">
        <v>Novo Lead</v>
      </c>
    </row>
    <row r="6">
      <c r="A6" s="1" t="str">
        <v>Tipo Projeto</v>
      </c>
      <c r="C6" s="1" t="str">
        <v>Prioridade</v>
      </c>
      <c r="D6" s="1" t="str">
        <v>Média</v>
      </c>
      <c r="E6" s="1" t="str">
        <v>Equipe Responsável</v>
      </c>
    </row>
    <row r="8">
      <c r="A8" s="1" t="str">
        <v>👤 CLIENTE</v>
      </c>
    </row>
    <row r="9">
      <c r="A9" s="1" t="str">
        <v>Nome</v>
      </c>
      <c r="C9" s="1" t="str">
        <v>Tipo</v>
      </c>
      <c r="E9" s="1" t="str">
        <v>CIF/NIF</v>
      </c>
    </row>
    <row r="10">
      <c r="A10" s="1" t="str">
        <v>Telefone</v>
      </c>
      <c r="C10" s="1" t="str">
        <v>Email</v>
      </c>
      <c r="E10" s="1" t="str">
        <v>Contato Principal</v>
      </c>
    </row>
    <row r="11">
      <c r="A11" s="1" t="str">
        <v>Endereço</v>
      </c>
      <c r="C11" s="1" t="str">
        <v>Cidade</v>
      </c>
      <c r="D11" s="1" t="str">
        <v>Madrid</v>
      </c>
      <c r="E11" s="1" t="str">
        <v>CP</v>
      </c>
    </row>
    <row r="13">
      <c r="A13" s="1" t="str">
        <v>📐 DETALHES TÉCNICOS</v>
      </c>
    </row>
    <row r="14">
      <c r="A14" s="1" t="str">
        <v>Descrição</v>
      </c>
    </row>
    <row r="15">
      <c r="A15" s="1" t="str">
        <v>Medidas</v>
      </c>
    </row>
    <row r="16">
      <c r="A16" s="1" t="str">
        <v>Materiais</v>
      </c>
    </row>
    <row r="17">
      <c r="A17" s="1" t="str">
        <v>Acabamentos</v>
      </c>
    </row>
    <row r="18">
      <c r="A18" s="1" t="str">
        <v>Observações Técnicas</v>
      </c>
    </row>
    <row r="20">
      <c r="A20" s="1" t="str">
        <v>💰 FINANCEIRO</v>
      </c>
    </row>
    <row r="21">
      <c r="A21" s="1" t="str">
        <v>Valor Orçamento (€)</v>
      </c>
      <c r="B21" s="1">
        <v>0</v>
      </c>
      <c r="C21" s="1" t="str">
        <v>Forma Pagamento</v>
      </c>
      <c r="E21" s="1" t="str">
        <v>% Sinal</v>
      </c>
      <c r="F21" s="1">
        <v>0.5</v>
      </c>
    </row>
    <row r="22">
      <c r="A22" s="1" t="str">
        <v>Custo Materiais (€)</v>
      </c>
      <c r="B22" s="1">
        <v>0</v>
      </c>
      <c r="C22" s="1" t="str">
        <v>Custo Mão de Obra (€)</v>
      </c>
      <c r="D22" s="1">
        <v>0</v>
      </c>
      <c r="E22" s="1" t="str">
        <v>Outros Custos (€)</v>
      </c>
      <c r="F22" s="1">
        <v>0</v>
      </c>
    </row>
    <row r="23">
      <c r="A23" s="1" t="str">
        <v>Custo Total (€)</v>
      </c>
      <c r="B23" s="1">
        <f>B22+D22+F22</f>
        <v>0</v>
      </c>
      <c r="C23" s="1" t="str">
        <v>Lucro Estimado (€)</v>
      </c>
      <c r="D23" s="1">
        <f>B21-B23</f>
        <v>0</v>
      </c>
      <c r="E23" s="1" t="str">
        <v>Margem (%)</v>
      </c>
      <c r="F23" s="1">
        <f>IFERROR((B21-B23)/B21,0)</f>
        <v>0</v>
      </c>
    </row>
    <row r="25">
      <c r="A25" s="1" t="str">
        <v>📅 PRAZOS</v>
      </c>
    </row>
    <row r="26">
      <c r="A26" s="1" t="str">
        <v>Data Orçamento</v>
      </c>
      <c r="C26" s="1" t="str">
        <v>Data Aprovação</v>
      </c>
      <c r="E26" s="1" t="str">
        <v>Início Produção</v>
      </c>
    </row>
    <row r="27">
      <c r="A27" s="1" t="str">
        <v>Fim Produção</v>
      </c>
      <c r="C27" s="1" t="str">
        <v>Data Montagem</v>
      </c>
      <c r="E27" s="1" t="str">
        <v>Entrega Final</v>
      </c>
    </row>
    <row r="29">
      <c r="A29" s="1" t="str">
        <v>📋 CHECKLIST DE EXECUÇÃO</v>
      </c>
    </row>
    <row r="30">
      <c r="A30" s="1" t="str">
        <v>☐</v>
      </c>
      <c r="B30" s="1" t="str">
        <v>Visita técnica realizada</v>
      </c>
      <c r="E30" s="1" t="str">
        <v>Data:</v>
      </c>
    </row>
    <row r="31">
      <c r="A31" s="1" t="str">
        <v>☐</v>
      </c>
      <c r="B31" s="1" t="str">
        <v>Medidas conferidas</v>
      </c>
      <c r="E31" s="1" t="str">
        <v>Data:</v>
      </c>
    </row>
    <row r="32">
      <c r="A32" s="1" t="str">
        <v>☐</v>
      </c>
      <c r="B32" s="1" t="str">
        <v>Orçamento enviado</v>
      </c>
      <c r="E32" s="1" t="str">
        <v>Data:</v>
      </c>
    </row>
    <row r="33">
      <c r="A33" s="1" t="str">
        <v>☐</v>
      </c>
      <c r="B33" s="1" t="str">
        <v>Orçamento aprovado</v>
      </c>
      <c r="E33" s="1" t="str">
        <v>Data:</v>
      </c>
    </row>
    <row r="34">
      <c r="A34" s="1" t="str">
        <v>☐</v>
      </c>
      <c r="B34" s="1" t="str">
        <v>Sinal recebido</v>
      </c>
      <c r="E34" s="1" t="str">
        <v>Data:</v>
      </c>
    </row>
    <row r="35">
      <c r="A35" s="1" t="str">
        <v>☐</v>
      </c>
      <c r="B35" s="1" t="str">
        <v>Pedido de materiais</v>
      </c>
      <c r="E35" s="1" t="str">
        <v>Data:</v>
      </c>
    </row>
    <row r="36">
      <c r="A36" s="1" t="str">
        <v>☐</v>
      </c>
      <c r="B36" s="1" t="str">
        <v>Corte CNC</v>
      </c>
      <c r="E36" s="1" t="str">
        <v>Data:</v>
      </c>
    </row>
    <row r="37">
      <c r="A37" s="1" t="str">
        <v>☐</v>
      </c>
      <c r="B37" s="1" t="str">
        <v>Pré-montagem</v>
      </c>
      <c r="E37" s="1" t="str">
        <v>Data:</v>
      </c>
    </row>
    <row r="38">
      <c r="A38" s="1" t="str">
        <v>☐</v>
      </c>
      <c r="B38" s="1" t="str">
        <v>Lacado / Acabamento</v>
      </c>
      <c r="E38" s="1" t="str">
        <v>Data:</v>
      </c>
    </row>
    <row r="39">
      <c r="A39" s="1" t="str">
        <v>☐</v>
      </c>
      <c r="B39" s="1" t="str">
        <v>Controle de qualidade</v>
      </c>
      <c r="E39" s="1" t="str">
        <v>Data:</v>
      </c>
    </row>
    <row r="40">
      <c r="A40" s="1" t="str">
        <v>☐</v>
      </c>
      <c r="B40" s="1" t="str">
        <v>Embalagem / transporte</v>
      </c>
      <c r="E40" s="1" t="str">
        <v>Data:</v>
      </c>
    </row>
    <row r="41">
      <c r="A41" s="1" t="str">
        <v>☐</v>
      </c>
      <c r="B41" s="1" t="str">
        <v>Montagem in loco</v>
      </c>
      <c r="E41" s="1" t="str">
        <v>Data:</v>
      </c>
    </row>
    <row r="42">
      <c r="A42" s="1" t="str">
        <v>☐</v>
      </c>
      <c r="B42" s="1" t="str">
        <v>Inspeção final cliente</v>
      </c>
      <c r="E42" s="1" t="str">
        <v>Data:</v>
      </c>
    </row>
    <row r="43">
      <c r="A43" s="1" t="str">
        <v>☐</v>
      </c>
      <c r="B43" s="1" t="str">
        <v>Fatura final emitida</v>
      </c>
      <c r="E43" s="1" t="str">
        <v>Data:</v>
      </c>
    </row>
    <row r="44">
      <c r="A44" s="1" t="str">
        <v>☐</v>
      </c>
      <c r="B44" s="1" t="str">
        <v>Pagamento final recebido</v>
      </c>
      <c r="E44" s="1" t="str">
        <v>Data:</v>
      </c>
    </row>
    <row r="45">
      <c r="A45" s="1" t="str">
        <v>☐</v>
      </c>
      <c r="B45" s="1" t="str">
        <v>Pós-venda 30 dias</v>
      </c>
      <c r="E45" s="1" t="str">
        <v>Data:</v>
      </c>
    </row>
  </sheetData>
  <mergeCells count="29">
    <mergeCell ref="A1:F1"/>
    <mergeCell ref="A2:F2"/>
    <mergeCell ref="A4:F4"/>
    <mergeCell ref="A8:F8"/>
    <mergeCell ref="A13:F13"/>
    <mergeCell ref="B14:F14"/>
    <mergeCell ref="B15:F15"/>
    <mergeCell ref="B16:F16"/>
    <mergeCell ref="B17:F17"/>
    <mergeCell ref="B18:F18"/>
    <mergeCell ref="A20:F20"/>
    <mergeCell ref="A25:F25"/>
    <mergeCell ref="A29:F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5" right="0.75" top="1" bottom="1" header="0.511811023622047" footer="0.511811023622047"/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Pipeline</vt:lpstr>
      <vt:lpstr>Ficha_Projeto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2026-05-15T14:08:04Z</dcterms:created>
  <dcterms:modified xsi:type="dcterms:W3CDTF">2026-05-15T14:08:04Z</dcterms:modified>
  <cp:revision>0</cp:revision>
  <dc:creator>openpyxl</dc:creator>
  <dc:language>en-US</dc:language>
</cp:coreProperties>
</file>