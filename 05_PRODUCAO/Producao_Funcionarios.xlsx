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lanejamento_Semanal" sheetId="2" state="visible" r:id="rId4"/>
    <sheet name="Ordens_Fabricacao" sheetId="3" state="visible" r:id="rId5"/>
    <sheet name="Capacidade" sheetId="4" state="visible" r:id="rId6"/>
    <sheet name="Diarias_Funcionari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<sst xmlns="http://schemas.openxmlformats.org/spreadsheetml/2006/main" count="166" uniqueCount="148">
  <si>
    <t xml:space="preserve">DASHBOARD DE PRODUÇÃO — Roble Fuerte</t>
  </si>
  <si>
    <t xml:space="preserve">INDICADORES OPERACIONAIS</t>
  </si>
  <si>
    <t xml:space="preserve">OFs em Andamento</t>
  </si>
  <si>
    <t xml:space="preserve">OFs Atrasadas</t>
  </si>
  <si>
    <t xml:space="preserve">Progresso Médio</t>
  </si>
  <si>
    <t xml:space="preserve">Funcionários Ativos</t>
  </si>
  <si>
    <t xml:space="preserve">Custo Folha Mensal</t>
  </si>
  <si>
    <t xml:space="preserve">Capacidade Mês Atual</t>
  </si>
  <si>
    <t xml:space="preserve">STATUS DA SEMANA</t>
  </si>
  <si>
    <t xml:space="preserve">PLANEJAMENTO SEMANAL DE PRODUÇÃO</t>
  </si>
  <si>
    <t xml:space="preserve">Distribuição diária de tarefas por equipe — atualizar toda segunda-feira</t>
  </si>
  <si>
    <t xml:space="preserve">Semana de:</t>
  </si>
  <si>
    <t xml:space="preserve">a</t>
  </si>
  <si>
    <t xml:space="preserve">Equipe / Funcionário</t>
  </si>
  <si>
    <t xml:space="preserve">Segunda</t>
  </si>
  <si>
    <t xml:space="preserve">Terça</t>
  </si>
  <si>
    <t xml:space="preserve">Quarta</t>
  </si>
  <si>
    <t xml:space="preserve">Quinta</t>
  </si>
  <si>
    <t xml:space="preserve">Sexta</t>
  </si>
  <si>
    <t xml:space="preserve">Projetos da Semana</t>
  </si>
  <si>
    <t xml:space="preserve">Observações</t>
  </si>
  <si>
    <t xml:space="preserve">FÁBRICA — Carlos (CNC)</t>
  </si>
  <si>
    <t xml:space="preserve">Cortar P-001 painéis MDF</t>
  </si>
  <si>
    <t xml:space="preserve">Cortar P-004 estrutura</t>
  </si>
  <si>
    <t xml:space="preserve">Furação P-004</t>
  </si>
  <si>
    <t xml:space="preserve">Pré-montagem P-001</t>
  </si>
  <si>
    <t xml:space="preserve">FÁBRICA — Antonio (Lacado)</t>
  </si>
  <si>
    <t xml:space="preserve">Preparar P-002 primer</t>
  </si>
  <si>
    <t xml:space="preserve">Aplicar 1ª demão P-002</t>
  </si>
  <si>
    <t xml:space="preserve">Lixar + 2ª demão P-002</t>
  </si>
  <si>
    <t xml:space="preserve">Acabamento P-002</t>
  </si>
  <si>
    <t xml:space="preserve">Embalar P-002</t>
  </si>
  <si>
    <t xml:space="preserve">FÁBRICA — Auxiliar</t>
  </si>
  <si>
    <t xml:space="preserve">Apoio CNC</t>
  </si>
  <si>
    <t xml:space="preserve">Lixar peças P-001</t>
  </si>
  <si>
    <t xml:space="preserve">Apoio lacado</t>
  </si>
  <si>
    <t xml:space="preserve">Apoio embalagem</t>
  </si>
  <si>
    <t xml:space="preserve">Limpeza geral</t>
  </si>
  <si>
    <t xml:space="preserve">MONTAGEM — Miguel</t>
  </si>
  <si>
    <t xml:space="preserve">Montagem P-005 (Madrid)</t>
  </si>
  <si>
    <t xml:space="preserve">Montagem P-005</t>
  </si>
  <si>
    <t xml:space="preserve">Visita P-007</t>
  </si>
  <si>
    <t xml:space="preserve">Entrega P-003 final</t>
  </si>
  <si>
    <t xml:space="preserve">Vistoria P-001</t>
  </si>
  <si>
    <t xml:space="preserve">MONTAGEM — Auxiliar</t>
  </si>
  <si>
    <t xml:space="preserve">Acompanha Miguel</t>
  </si>
  <si>
    <t xml:space="preserve">-</t>
  </si>
  <si>
    <t xml:space="preserve">Apoio P-003</t>
  </si>
  <si>
    <t xml:space="preserve">Apoio P-001</t>
  </si>
  <si>
    <t xml:space="preserve">ORDENS DE FABRICAÇÃO</t>
  </si>
  <si>
    <t xml:space="preserve">Cada projeto aprovado gera uma OF — controla o ciclo na fábrica</t>
  </si>
  <si>
    <t xml:space="preserve">OF Nº</t>
  </si>
  <si>
    <t xml:space="preserve">Projeto</t>
  </si>
  <si>
    <t xml:space="preserve">Cliente</t>
  </si>
  <si>
    <t xml:space="preserve">Descrição</t>
  </si>
  <si>
    <t xml:space="preserve">Data Abertura</t>
  </si>
  <si>
    <t xml:space="preserve">Prev. Fim</t>
  </si>
  <si>
    <t xml:space="preserve">Etapa Atual</t>
  </si>
  <si>
    <t xml:space="preserve">% Concluído</t>
  </si>
  <si>
    <t xml:space="preserve">Responsável</t>
  </si>
  <si>
    <t xml:space="preserve">Status</t>
  </si>
  <si>
    <t xml:space="preserve">Atrasada?</t>
  </si>
  <si>
    <t xml:space="preserve">OF-001</t>
  </si>
  <si>
    <t xml:space="preserve">P-001</t>
  </si>
  <si>
    <t xml:space="preserve">Maria García</t>
  </si>
  <si>
    <t xml:space="preserve">Cozinha + armários</t>
  </si>
  <si>
    <t xml:space="preserve">2026-04-10</t>
  </si>
  <si>
    <t xml:space="preserve">2026-06-10</t>
  </si>
  <si>
    <t xml:space="preserve">Corte CNC</t>
  </si>
  <si>
    <t xml:space="preserve">Carlos</t>
  </si>
  <si>
    <t xml:space="preserve">Em andamento</t>
  </si>
  <si>
    <t xml:space="preserve">OF-002</t>
  </si>
  <si>
    <t xml:space="preserve">P-002</t>
  </si>
  <si>
    <t xml:space="preserve">Estudio ABC</t>
  </si>
  <si>
    <t xml:space="preserve">18 portas lacadas</t>
  </si>
  <si>
    <t xml:space="preserve">2026-04-20</t>
  </si>
  <si>
    <t xml:space="preserve">2026-06-01</t>
  </si>
  <si>
    <t xml:space="preserve">Lacado</t>
  </si>
  <si>
    <t xml:space="preserve">Antonio</t>
  </si>
  <si>
    <t xml:space="preserve">OF-003</t>
  </si>
  <si>
    <t xml:space="preserve">P-004</t>
  </si>
  <si>
    <t xml:space="preserve">Construtora Núñez</t>
  </si>
  <si>
    <t xml:space="preserve">3 armários Chamberí</t>
  </si>
  <si>
    <t xml:space="preserve">2026-05-01</t>
  </si>
  <si>
    <t xml:space="preserve">2026-07-20</t>
  </si>
  <si>
    <t xml:space="preserve">Aguardando materiais</t>
  </si>
  <si>
    <t xml:space="preserve">OF-004</t>
  </si>
  <si>
    <t xml:space="preserve">P-005</t>
  </si>
  <si>
    <t xml:space="preserve">Pedro Martínez</t>
  </si>
  <si>
    <t xml:space="preserve">Porta corredera + closet</t>
  </si>
  <si>
    <t xml:space="preserve">2026-04-15</t>
  </si>
  <si>
    <t xml:space="preserve">2026-05-18</t>
  </si>
  <si>
    <t xml:space="preserve">Pronto p/ montagem</t>
  </si>
  <si>
    <t xml:space="preserve">OF-005</t>
  </si>
  <si>
    <t xml:space="preserve">P-003</t>
  </si>
  <si>
    <t xml:space="preserve">Reformas López</t>
  </si>
  <si>
    <t xml:space="preserve">12 portas enrasadas</t>
  </si>
  <si>
    <t xml:space="preserve">2026-03-05</t>
  </si>
  <si>
    <t xml:space="preserve">Entregue</t>
  </si>
  <si>
    <t xml:space="preserve">Finalizada</t>
  </si>
  <si>
    <t xml:space="preserve">CAPACIDADE PRODUTIVA MENSAL</t>
  </si>
  <si>
    <t xml:space="preserve">Quantos projetos a fábrica consegue entregar por mês — ajuda a NÃO PROMETER demais</t>
  </si>
  <si>
    <t xml:space="preserve">Mês</t>
  </si>
  <si>
    <t xml:space="preserve">Capacidade Teórica (projetos)</t>
  </si>
  <si>
    <t xml:space="preserve">Projetos Aceitos</t>
  </si>
  <si>
    <t xml:space="preserve">Disponível</t>
  </si>
  <si>
    <t xml:space="preserve">% Utilização</t>
  </si>
  <si>
    <t xml:space="preserve">Jan/26</t>
  </si>
  <si>
    <t xml:space="preserve">Fev/26</t>
  </si>
  <si>
    <t xml:space="preserve">Mar/26</t>
  </si>
  <si>
    <t xml:space="preserve">Abr/26</t>
  </si>
  <si>
    <t xml:space="preserve">Mai/26</t>
  </si>
  <si>
    <t xml:space="preserve">Jun/26</t>
  </si>
  <si>
    <t xml:space="preserve">Jul/26</t>
  </si>
  <si>
    <t xml:space="preserve">Ago/26</t>
  </si>
  <si>
    <t xml:space="preserve">Set/26</t>
  </si>
  <si>
    <t xml:space="preserve">Out/26</t>
  </si>
  <si>
    <t xml:space="preserve">Nov/26</t>
  </si>
  <si>
    <t xml:space="preserve">Dez/26</t>
  </si>
  <si>
    <t xml:space="preserve">CONTROLE DE DIÁRIAS E DIAS TRABALHADOS</t>
  </si>
  <si>
    <t xml:space="preserve">Folha de ponto mensal — calcula automaticamente o custo total da equipe</t>
  </si>
  <si>
    <t xml:space="preserve">ID</t>
  </si>
  <si>
    <t xml:space="preserve">Funcionário</t>
  </si>
  <si>
    <t xml:space="preserve">Função</t>
  </si>
  <si>
    <t xml:space="preserve">Equipe</t>
  </si>
  <si>
    <t xml:space="preserve">Valor Diária (€)</t>
  </si>
  <si>
    <t xml:space="preserve">Dias Trabalhados (mês)</t>
  </si>
  <si>
    <t xml:space="preserve">Horas Extras (€)</t>
  </si>
  <si>
    <t xml:space="preserve">Custo Total Mês (€)</t>
  </si>
  <si>
    <t xml:space="preserve">Mês Referência</t>
  </si>
  <si>
    <t xml:space="preserve">E-001</t>
  </si>
  <si>
    <t xml:space="preserve">Carlos Silva</t>
  </si>
  <si>
    <t xml:space="preserve">Carpinteiro Sênior / CNC</t>
  </si>
  <si>
    <t xml:space="preserve">Fábrica</t>
  </si>
  <si>
    <t xml:space="preserve">Mai/2026</t>
  </si>
  <si>
    <t xml:space="preserve">E-002</t>
  </si>
  <si>
    <t xml:space="preserve">Antonio Pérez</t>
  </si>
  <si>
    <t xml:space="preserve">Lacador</t>
  </si>
  <si>
    <t xml:space="preserve">E-003</t>
  </si>
  <si>
    <t xml:space="preserve">Miguel Torres</t>
  </si>
  <si>
    <t xml:space="preserve">Líder Montagem</t>
  </si>
  <si>
    <t xml:space="preserve">Montagem</t>
  </si>
  <si>
    <t xml:space="preserve">E-004</t>
  </si>
  <si>
    <t xml:space="preserve">Aux. Fábrica</t>
  </si>
  <si>
    <t xml:space="preserve">Auxiliar</t>
  </si>
  <si>
    <t xml:space="preserve">E-005</t>
  </si>
  <si>
    <t xml:space="preserve">Aux. Montagem</t>
  </si>
  <si>
    <t xml:space="preserve">TOTAL FOLHA (mês):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</si>
</sst>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%"/>
    <numFmt numFmtId="167" formatCode="#,##0&quot; €&quot;"/>
    <numFmt numFmtId="168" formatCode="dd/mm/yyyy"/>
    <numFmt numFmtId="169" formatCode="yyyy\-mm\-dd"/>
    <numFmt numFmtId="170" formatCode="#,##0.00&quot; €&quot;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2937"/>
      <name val="Calibri"/>
      <family val="0"/>
      <charset val="1"/>
    </font>
    <font>
      <b val="true"/>
      <sz val="14"/>
      <color rgb="FF1F2937"/>
      <name val="Cambria"/>
      <family val="0"/>
      <charset val="1"/>
    </font>
    <font>
      <b val="true"/>
      <sz val="11"/>
      <color rgb="FF374151"/>
      <name val="Cambria"/>
      <family val="0"/>
      <charset val="1"/>
    </font>
    <font>
      <b val="true"/>
      <sz val="20"/>
      <color rgb="FF1F2937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6"/>
      <color rgb="FF1F2937"/>
      <name val="Calibri"/>
      <family val="0"/>
      <charset val="1"/>
    </font>
    <font>
      <i val="true"/>
      <sz val="10"/>
      <color rgb="FF6B7280"/>
      <name val="Calibri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1F2937"/>
      <name val="Cambria"/>
      <family val="0"/>
      <charset val="1"/>
    </font>
    <font>
      <b val="true"/>
      <sz val="11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9FAFB"/>
        <bgColor rgb="FFFFFFFF"/>
      </patternFill>
    </fill>
    <fill>
      <patternFill patternType="solid">
        <fgColor rgb="FF1F2937"/>
        <bgColor rgb="FF333300"/>
      </patternFill>
    </fill>
    <fill>
      <patternFill patternType="solid">
        <fgColor rgb="FFF3F4F6"/>
        <bgColor rgb="FFF9FA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B91C1C"/>
      </font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1FAE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AFB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B91C1C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7.35" hidden="false" customHeight="false" outlineLevel="0" collapsed="false">
      <c r="A3" s="2" t="s">
        <v>1</v>
      </c>
    </row>
    <row r="4" customFormat="false" ht="21.75" hidden="false" customHeight="true" outlineLevel="0" collapsed="false">
      <c r="A4" s="3" t="s">
        <v>2</v>
      </c>
      <c r="B4" s="3"/>
      <c r="C4" s="3" t="s">
        <v>3</v>
      </c>
      <c r="D4" s="3"/>
      <c r="E4" s="3" t="s">
        <v>4</v>
      </c>
      <c r="F4" s="3"/>
    </row>
    <row r="5" customFormat="false" ht="31.5" hidden="false" customHeight="true" outlineLevel="0" collapsed="false">
      <c r="A5" s="4" t="n">
        <f aca="false">COUNTIF(Ordens_Fabricacao!J5:J55,"Em andamento")</f>
        <v>4</v>
      </c>
      <c r="B5" s="4"/>
      <c r="C5" s="4" t="n">
        <f aca="false">COUNTIF(Ordens_Fabricacao!K5:K55,"🔴 SIM")</f>
        <v>0</v>
      </c>
      <c r="D5" s="4"/>
      <c r="E5" s="5" t="n">
        <f aca="false">IFERROR(AVERAGEIFS(Ordens_Fabricacao!H5:H55,Ordens_Fabricacao!J5:J55,"Em andamento"),0)</f>
        <v>0.475</v>
      </c>
      <c r="F5" s="5"/>
    </row>
    <row r="6" customFormat="false" ht="21.75" hidden="false" customHeight="true" outlineLevel="0" collapsed="false">
      <c r="A6" s="3" t="s">
        <v>5</v>
      </c>
      <c r="B6" s="3"/>
      <c r="C6" s="3" t="s">
        <v>6</v>
      </c>
      <c r="D6" s="3"/>
      <c r="E6" s="3" t="s">
        <v>7</v>
      </c>
      <c r="F6" s="3"/>
    </row>
    <row r="7" customFormat="false" ht="31.5" hidden="false" customHeight="true" outlineLevel="0" collapsed="false">
      <c r="A7" s="4" t="n">
        <f aca="false">COUNTA(Diarias_Funcionarios!B5:B30)</f>
        <v>5</v>
      </c>
      <c r="B7" s="4"/>
      <c r="C7" s="6" t="n">
        <f aca="false">SUM(Diarias_Funcionarios!H5:H30)</f>
        <v>8600</v>
      </c>
      <c r="D7" s="6"/>
      <c r="E7" s="5" t="n">
        <f aca="true">INDEX(Capacidade!E5:E16,MONTH(TODAY()))</f>
        <v>0.833333333333333</v>
      </c>
      <c r="F7" s="5"/>
    </row>
    <row r="11" customFormat="false" ht="17.3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7" t="str">
        <f aca="false">IF(C5&gt;0,"🔴 ATENÇÃO — Há "&amp;C5&amp;" OFs ATRASADAS. Verifique a aba Ordens_Fabricacao","🟢 Produção em dia — nenhuma OF atrasada")</f>
        <v>🟢 Produção em dia — nenhuma OF atrasada</v>
      </c>
      <c r="B12" s="7"/>
      <c r="C12" s="7"/>
      <c r="D12" s="7"/>
      <c r="E12" s="7"/>
      <c r="F12" s="7"/>
    </row>
  </sheetData>
  <mergeCells count="14">
    <mergeCell ref="A1:F1"/>
    <mergeCell ref="A4:B4"/>
    <mergeCell ref="C4:D4"/>
    <mergeCell ref="E4:F4"/>
    <mergeCell ref="A5:B5"/>
    <mergeCell ref="C5:D5"/>
    <mergeCell ref="E5:F5"/>
    <mergeCell ref="A6:B6"/>
    <mergeCell ref="C6:D6"/>
    <mergeCell ref="E6:F6"/>
    <mergeCell ref="A7:B7"/>
    <mergeCell ref="C7:D7"/>
    <mergeCell ref="E7:F7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22"/>
    <col collapsed="false" customWidth="true" hidden="false" outlineLevel="0" max="7" min="7" style="0" width="30"/>
    <col collapsed="false" customWidth="true" hidden="false" outlineLevel="0" max="8" min="8" style="0" width="28"/>
  </cols>
  <sheetData>
    <row r="1" customFormat="false" ht="27.75" hidden="false" customHeight="true" outlineLevel="0" collapsed="false">
      <c r="A1" s="8" t="s">
        <v>9</v>
      </c>
      <c r="B1" s="8"/>
      <c r="C1" s="8"/>
      <c r="D1" s="8"/>
      <c r="E1" s="8"/>
      <c r="F1" s="8"/>
      <c r="G1" s="8"/>
      <c r="H1" s="8"/>
    </row>
    <row r="2" customFormat="false" ht="15" hidden="false" customHeight="false" outlineLevel="0" collapsed="false">
      <c r="A2" s="9" t="s">
        <v>10</v>
      </c>
      <c r="B2" s="9"/>
      <c r="C2" s="9"/>
      <c r="D2" s="9"/>
      <c r="E2" s="9"/>
      <c r="F2" s="9"/>
      <c r="G2" s="9"/>
      <c r="H2" s="9"/>
    </row>
    <row r="4" customFormat="false" ht="15" hidden="false" customHeight="false" outlineLevel="0" collapsed="false">
      <c r="A4" s="10" t="s">
        <v>11</v>
      </c>
      <c r="B4" s="11" t="n">
        <f aca="true">TODAY()-WEEKDAY(TODAY(),3)</f>
        <v>46153</v>
      </c>
      <c r="D4" s="12" t="s">
        <v>12</v>
      </c>
      <c r="E4" s="11" t="n">
        <f aca="false">B4+4</f>
        <v>46157</v>
      </c>
    </row>
    <row r="6" customFormat="false" ht="25.5" hidden="false" customHeight="true" outlineLevel="0" collapsed="false">
      <c r="A6" s="13" t="s">
        <v>13</v>
      </c>
      <c r="B6" s="13" t="s">
        <v>14</v>
      </c>
      <c r="C6" s="13" t="s">
        <v>15</v>
      </c>
      <c r="D6" s="13" t="s">
        <v>16</v>
      </c>
      <c r="E6" s="13" t="s">
        <v>17</v>
      </c>
      <c r="F6" s="13" t="s">
        <v>18</v>
      </c>
      <c r="G6" s="13" t="s">
        <v>19</v>
      </c>
      <c r="H6" s="13" t="s">
        <v>20</v>
      </c>
    </row>
    <row r="7" customFormat="false" ht="36" hidden="false" customHeight="true" outlineLevel="0" collapsed="false">
      <c r="A7" s="14" t="s">
        <v>21</v>
      </c>
      <c r="B7" s="15" t="s">
        <v>22</v>
      </c>
      <c r="C7" s="15" t="s">
        <v>22</v>
      </c>
      <c r="D7" s="15" t="s">
        <v>23</v>
      </c>
      <c r="E7" s="15" t="s">
        <v>24</v>
      </c>
      <c r="F7" s="15" t="s">
        <v>25</v>
      </c>
      <c r="G7" s="16"/>
      <c r="H7" s="16"/>
    </row>
    <row r="8" customFormat="false" ht="36" hidden="false" customHeight="true" outlineLevel="0" collapsed="false">
      <c r="A8" s="14" t="s">
        <v>26</v>
      </c>
      <c r="B8" s="15" t="s">
        <v>27</v>
      </c>
      <c r="C8" s="15" t="s">
        <v>28</v>
      </c>
      <c r="D8" s="15" t="s">
        <v>29</v>
      </c>
      <c r="E8" s="15" t="s">
        <v>30</v>
      </c>
      <c r="F8" s="15" t="s">
        <v>31</v>
      </c>
      <c r="G8" s="16"/>
      <c r="H8" s="16"/>
    </row>
    <row r="9" customFormat="false" ht="36" hidden="false" customHeight="true" outlineLevel="0" collapsed="false">
      <c r="A9" s="14" t="s">
        <v>32</v>
      </c>
      <c r="B9" s="15" t="s">
        <v>33</v>
      </c>
      <c r="C9" s="15" t="s">
        <v>34</v>
      </c>
      <c r="D9" s="15" t="s">
        <v>35</v>
      </c>
      <c r="E9" s="15" t="s">
        <v>36</v>
      </c>
      <c r="F9" s="15" t="s">
        <v>37</v>
      </c>
      <c r="G9" s="16"/>
      <c r="H9" s="16"/>
    </row>
    <row r="10" customFormat="false" ht="36" hidden="false" customHeight="true" outlineLevel="0" collapsed="false">
      <c r="A10" s="14" t="s">
        <v>38</v>
      </c>
      <c r="B10" s="15" t="s">
        <v>39</v>
      </c>
      <c r="C10" s="15" t="s">
        <v>40</v>
      </c>
      <c r="D10" s="15" t="s">
        <v>41</v>
      </c>
      <c r="E10" s="15" t="s">
        <v>42</v>
      </c>
      <c r="F10" s="15" t="s">
        <v>43</v>
      </c>
      <c r="G10" s="16"/>
      <c r="H10" s="16"/>
    </row>
    <row r="11" customFormat="false" ht="36" hidden="false" customHeight="true" outlineLevel="0" collapsed="false">
      <c r="A11" s="14" t="s">
        <v>44</v>
      </c>
      <c r="B11" s="15" t="s">
        <v>45</v>
      </c>
      <c r="C11" s="15" t="s">
        <v>45</v>
      </c>
      <c r="D11" s="15" t="s">
        <v>46</v>
      </c>
      <c r="E11" s="15" t="s">
        <v>47</v>
      </c>
      <c r="F11" s="15" t="s">
        <v>48</v>
      </c>
      <c r="G11" s="16"/>
      <c r="H11" s="16"/>
    </row>
    <row r="12" customFormat="false" ht="36" hidden="false" customHeight="true" outlineLevel="0" collapsed="false">
      <c r="A12" s="15"/>
      <c r="B12" s="15"/>
      <c r="C12" s="15"/>
      <c r="D12" s="15"/>
      <c r="E12" s="15"/>
      <c r="F12" s="15"/>
      <c r="G12" s="15"/>
      <c r="H12" s="15"/>
    </row>
    <row r="13" customFormat="false" ht="36" hidden="false" customHeight="true" outlineLevel="0" collapsed="false">
      <c r="A13" s="15"/>
      <c r="B13" s="15"/>
      <c r="C13" s="15"/>
      <c r="D13" s="15"/>
      <c r="E13" s="15"/>
      <c r="F13" s="15"/>
      <c r="G13" s="15"/>
      <c r="H13" s="15"/>
    </row>
    <row r="14" customFormat="false" ht="36" hidden="false" customHeight="true" outlineLevel="0" collapsed="false">
      <c r="A14" s="15"/>
      <c r="B14" s="15"/>
      <c r="C14" s="15"/>
      <c r="D14" s="15"/>
      <c r="E14" s="15"/>
      <c r="F14" s="15"/>
      <c r="G14" s="15"/>
      <c r="H14" s="15"/>
    </row>
    <row r="15" customFormat="false" ht="36" hidden="false" customHeight="true" outlineLevel="0" collapsed="false">
      <c r="A15" s="15"/>
      <c r="B15" s="15"/>
      <c r="C15" s="15"/>
      <c r="D15" s="15"/>
      <c r="E15" s="15"/>
      <c r="F15" s="15"/>
      <c r="G15" s="15"/>
      <c r="H15" s="15"/>
    </row>
    <row r="16" customFormat="false" ht="36" hidden="false" customHeight="true" outlineLevel="0" collapsed="false">
      <c r="A16" s="15"/>
      <c r="B16" s="15"/>
      <c r="C16" s="15"/>
      <c r="D16" s="15"/>
      <c r="E16" s="15"/>
      <c r="F16" s="15"/>
      <c r="G16" s="15"/>
      <c r="H16" s="15"/>
    </row>
    <row r="17" customFormat="false" ht="36" hidden="false" customHeight="true" outlineLevel="0" collapsed="false">
      <c r="A17" s="15"/>
      <c r="B17" s="15"/>
      <c r="C17" s="15"/>
      <c r="D17" s="15"/>
      <c r="E17" s="15"/>
      <c r="F17" s="15"/>
      <c r="G17" s="15"/>
      <c r="H17" s="15"/>
    </row>
    <row r="18" customFormat="false" ht="36" hidden="false" customHeight="true" outlineLevel="0" collapsed="false">
      <c r="A18" s="15"/>
      <c r="B18" s="15"/>
      <c r="C18" s="15"/>
      <c r="D18" s="15"/>
      <c r="E18" s="15"/>
      <c r="F18" s="15"/>
      <c r="G18" s="15"/>
      <c r="H18" s="15"/>
    </row>
    <row r="19" customFormat="false" ht="36" hidden="false" customHeight="true" outlineLevel="0" collapsed="false">
      <c r="A19" s="15"/>
      <c r="B19" s="15"/>
      <c r="C19" s="15"/>
      <c r="D19" s="15"/>
      <c r="E19" s="15"/>
      <c r="F19" s="15"/>
      <c r="G19" s="15"/>
      <c r="H19" s="15"/>
    </row>
    <row r="20" customFormat="false" ht="36" hidden="false" customHeight="true" outlineLevel="0" collapsed="false">
      <c r="A20" s="15"/>
      <c r="B20" s="15"/>
      <c r="C20" s="15"/>
      <c r="D20" s="15"/>
      <c r="E20" s="15"/>
      <c r="F20" s="15"/>
      <c r="G20" s="15"/>
      <c r="H20" s="15"/>
    </row>
    <row r="21" customFormat="false" ht="36" hidden="false" customHeight="true" outlineLevel="0" collapsed="false">
      <c r="A21" s="15"/>
      <c r="B21" s="15"/>
      <c r="C21" s="15"/>
      <c r="D21" s="15"/>
      <c r="E21" s="15"/>
      <c r="F21" s="15"/>
      <c r="G21" s="15"/>
      <c r="H21" s="15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1" min="11" style="0" width="12"/>
  </cols>
  <sheetData>
    <row r="1" customFormat="false" ht="27.75" hidden="false" customHeight="true" outlineLevel="0" collapsed="false">
      <c r="A1" s="17" t="s">
        <v>49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customFormat="false" ht="15" hidden="false" customHeight="true" outlineLevel="0" collapsed="false">
      <c r="A2" s="18" t="s">
        <v>50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4" customFormat="false" ht="27.75" hidden="false" customHeight="true" outlineLevel="0" collapsed="false">
      <c r="A4" s="13" t="s">
        <v>51</v>
      </c>
      <c r="B4" s="13" t="s">
        <v>52</v>
      </c>
      <c r="C4" s="13" t="s">
        <v>53</v>
      </c>
      <c r="D4" s="13" t="s">
        <v>54</v>
      </c>
      <c r="E4" s="13" t="s">
        <v>55</v>
      </c>
      <c r="F4" s="13" t="s">
        <v>56</v>
      </c>
      <c r="G4" s="13" t="s">
        <v>57</v>
      </c>
      <c r="H4" s="13" t="s">
        <v>58</v>
      </c>
      <c r="I4" s="13" t="s">
        <v>59</v>
      </c>
      <c r="J4" s="13" t="s">
        <v>60</v>
      </c>
      <c r="K4" s="13" t="s">
        <v>61</v>
      </c>
    </row>
    <row r="5" customFormat="false" ht="15" hidden="false" customHeight="false" outlineLevel="0" collapsed="false">
      <c r="A5" s="19" t="s">
        <v>62</v>
      </c>
      <c r="B5" s="19" t="s">
        <v>63</v>
      </c>
      <c r="C5" s="19" t="s">
        <v>64</v>
      </c>
      <c r="D5" s="15" t="s">
        <v>65</v>
      </c>
      <c r="E5" s="20" t="s">
        <v>66</v>
      </c>
      <c r="F5" s="20" t="s">
        <v>67</v>
      </c>
      <c r="G5" s="19" t="s">
        <v>68</v>
      </c>
      <c r="H5" s="21" t="n">
        <v>0.3</v>
      </c>
      <c r="I5" s="19" t="s">
        <v>69</v>
      </c>
      <c r="J5" s="19" t="s">
        <v>70</v>
      </c>
      <c r="K5" s="22" t="str">
        <f aca="true">IF(OR(F5="",J5="Finalizada"),"",IF(F5&lt;TODAY(),"🔴 SIM","🟢 NÃO"))</f>
        <v>🟢 NÃO</v>
      </c>
    </row>
    <row r="6" customFormat="false" ht="15" hidden="false" customHeight="false" outlineLevel="0" collapsed="false">
      <c r="A6" s="19" t="s">
        <v>71</v>
      </c>
      <c r="B6" s="19" t="s">
        <v>72</v>
      </c>
      <c r="C6" s="19" t="s">
        <v>73</v>
      </c>
      <c r="D6" s="15" t="s">
        <v>74</v>
      </c>
      <c r="E6" s="20" t="s">
        <v>75</v>
      </c>
      <c r="F6" s="20" t="s">
        <v>76</v>
      </c>
      <c r="G6" s="19" t="s">
        <v>77</v>
      </c>
      <c r="H6" s="21" t="n">
        <v>0.6</v>
      </c>
      <c r="I6" s="19" t="s">
        <v>78</v>
      </c>
      <c r="J6" s="19" t="s">
        <v>70</v>
      </c>
      <c r="K6" s="22" t="str">
        <f aca="true">IF(OR(F6="",J6="Finalizada"),"",IF(F6&lt;TODAY(),"🔴 SIM","🟢 NÃO"))</f>
        <v>🟢 NÃO</v>
      </c>
    </row>
    <row r="7" customFormat="false" ht="23.85" hidden="false" customHeight="false" outlineLevel="0" collapsed="false">
      <c r="A7" s="19" t="s">
        <v>79</v>
      </c>
      <c r="B7" s="19" t="s">
        <v>80</v>
      </c>
      <c r="C7" s="19" t="s">
        <v>81</v>
      </c>
      <c r="D7" s="15" t="s">
        <v>82</v>
      </c>
      <c r="E7" s="20" t="s">
        <v>83</v>
      </c>
      <c r="F7" s="20" t="s">
        <v>84</v>
      </c>
      <c r="G7" s="19" t="s">
        <v>85</v>
      </c>
      <c r="H7" s="21" t="n">
        <v>0.1</v>
      </c>
      <c r="I7" s="19" t="s">
        <v>69</v>
      </c>
      <c r="J7" s="19" t="s">
        <v>70</v>
      </c>
      <c r="K7" s="22" t="str">
        <f aca="true">IF(OR(F7="",J7="Finalizada"),"",IF(F7&lt;TODAY(),"🔴 SIM","🟢 NÃO"))</f>
        <v>🟢 NÃO</v>
      </c>
    </row>
    <row r="8" customFormat="false" ht="23.85" hidden="false" customHeight="false" outlineLevel="0" collapsed="false">
      <c r="A8" s="19" t="s">
        <v>86</v>
      </c>
      <c r="B8" s="19" t="s">
        <v>87</v>
      </c>
      <c r="C8" s="19" t="s">
        <v>88</v>
      </c>
      <c r="D8" s="15" t="s">
        <v>89</v>
      </c>
      <c r="E8" s="20" t="s">
        <v>90</v>
      </c>
      <c r="F8" s="20" t="s">
        <v>91</v>
      </c>
      <c r="G8" s="19" t="s">
        <v>92</v>
      </c>
      <c r="H8" s="21" t="n">
        <v>0.9</v>
      </c>
      <c r="I8" s="19" t="s">
        <v>78</v>
      </c>
      <c r="J8" s="19" t="s">
        <v>70</v>
      </c>
      <c r="K8" s="22" t="str">
        <f aca="true">IF(OR(F8="",J8="Finalizada"),"",IF(F8&lt;TODAY(),"🔴 SIM","🟢 NÃO"))</f>
        <v>🟢 NÃO</v>
      </c>
    </row>
    <row r="9" customFormat="false" ht="15" hidden="false" customHeight="false" outlineLevel="0" collapsed="false">
      <c r="A9" s="19" t="s">
        <v>93</v>
      </c>
      <c r="B9" s="19" t="s">
        <v>94</v>
      </c>
      <c r="C9" s="19" t="s">
        <v>95</v>
      </c>
      <c r="D9" s="15" t="s">
        <v>96</v>
      </c>
      <c r="E9" s="20" t="s">
        <v>97</v>
      </c>
      <c r="F9" s="20" t="s">
        <v>66</v>
      </c>
      <c r="G9" s="19" t="s">
        <v>98</v>
      </c>
      <c r="H9" s="21" t="n">
        <v>1</v>
      </c>
      <c r="I9" s="19" t="s">
        <v>69</v>
      </c>
      <c r="J9" s="19" t="s">
        <v>99</v>
      </c>
      <c r="K9" s="22" t="str">
        <f aca="true">IF(OR(F9="",J9="Finalizada"),"",IF(F9&lt;TODAY(),"🔴 SIM","🟢 NÃO"))</f>
        <v/>
      </c>
    </row>
    <row r="10" customFormat="false" ht="15" hidden="false" customHeight="false" outlineLevel="0" collapsed="false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22" t="str">
        <f aca="true">IF(OR(F10="",J10="Finalizada"),"",IF(F10&lt;TODAY(),"🔴 SIM","🟢 NÃO"))</f>
        <v/>
      </c>
    </row>
    <row r="11" customFormat="false" ht="15" hidden="false" customHeight="false" outlineLevel="0" collapsed="false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22" t="str">
        <f aca="true">IF(OR(F11="",J11="Finalizada"),"",IF(F11&lt;TODAY(),"🔴 SIM","🟢 NÃO"))</f>
        <v/>
      </c>
    </row>
    <row r="12" customFormat="false" ht="15" hidden="false" customHeight="false" outlineLevel="0" collapsed="false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2" t="str">
        <f aca="true">IF(OR(F12="",J12="Finalizada"),"",IF(F12&lt;TODAY(),"🔴 SIM","🟢 NÃO"))</f>
        <v/>
      </c>
    </row>
    <row r="13" customFormat="false" ht="15" hidden="false" customHeight="false" outlineLevel="0" collapsed="false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22" t="str">
        <f aca="true">IF(OR(F13="",J13="Finalizada"),"",IF(F13&lt;TODAY(),"🔴 SIM","🟢 NÃO"))</f>
        <v/>
      </c>
    </row>
    <row r="14" customFormat="false" ht="15" hidden="false" customHeight="false" outlineLevel="0" collapsed="false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22" t="str">
        <f aca="true">IF(OR(F14="",J14="Finalizada"),"",IF(F14&lt;TODAY(),"🔴 SIM","🟢 NÃO"))</f>
        <v/>
      </c>
    </row>
    <row r="15" customFormat="false" ht="15" hidden="false" customHeight="false" outlineLevel="0" collapsed="false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22" t="str">
        <f aca="true">IF(OR(F15="",J15="Finalizada"),"",IF(F15&lt;TODAY(),"🔴 SIM","🟢 NÃO"))</f>
        <v/>
      </c>
    </row>
    <row r="16" customFormat="false" ht="15" hidden="false" customHeight="false" outlineLevel="0" collapsed="false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22" t="str">
        <f aca="true">IF(OR(F16="",J16="Finalizada"),"",IF(F16&lt;TODAY(),"🔴 SIM","🟢 NÃO"))</f>
        <v/>
      </c>
    </row>
    <row r="17" customFormat="false" ht="15" hidden="false" customHeight="false" outlineLevel="0" collapsed="false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22" t="str">
        <f aca="true">IF(OR(F17="",J17="Finalizada"),"",IF(F17&lt;TODAY(),"🔴 SIM","🟢 NÃO"))</f>
        <v/>
      </c>
    </row>
    <row r="18" customFormat="false" ht="15" hidden="false" customHeight="false" outlineLevel="0" collapsed="false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22" t="str">
        <f aca="true">IF(OR(F18="",J18="Finalizada"),"",IF(F18&lt;TODAY(),"🔴 SIM","🟢 NÃO"))</f>
        <v/>
      </c>
    </row>
    <row r="19" customFormat="false" ht="15" hidden="false" customHeight="false" outlineLevel="0" collapsed="false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22" t="str">
        <f aca="true">IF(OR(F19="",J19="Finalizada"),"",IF(F19&lt;TODAY(),"🔴 SIM","🟢 NÃO"))</f>
        <v/>
      </c>
    </row>
    <row r="20" customFormat="false" ht="15" hidden="false" customHeight="false" outlineLevel="0" collapsed="false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22" t="str">
        <f aca="true">IF(OR(F20="",J20="Finalizada"),"",IF(F20&lt;TODAY(),"🔴 SIM","🟢 NÃO"))</f>
        <v/>
      </c>
    </row>
    <row r="21" customFormat="false" ht="15" hidden="false" customHeight="false" outlineLevel="0" collapsed="false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22" t="str">
        <f aca="true">IF(OR(F21="",J21="Finalizada"),"",IF(F21&lt;TODAY(),"🔴 SIM","🟢 NÃO"))</f>
        <v/>
      </c>
    </row>
    <row r="22" customFormat="false" ht="15" hidden="false" customHeight="false" outlineLevel="0" collapsed="false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22" t="str">
        <f aca="true">IF(OR(F22="",J22="Finalizada"),"",IF(F22&lt;TODAY(),"🔴 SIM","🟢 NÃO"))</f>
        <v/>
      </c>
    </row>
    <row r="23" customFormat="false" ht="15" hidden="false" customHeight="false" outlineLevel="0" collapsed="false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22" t="str">
        <f aca="true">IF(OR(F23="",J23="Finalizada"),"",IF(F23&lt;TODAY(),"🔴 SIM","🟢 NÃO"))</f>
        <v/>
      </c>
    </row>
    <row r="24" customFormat="false" ht="15" hidden="false" customHeight="false" outlineLevel="0" collapsed="false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22" t="str">
        <f aca="true">IF(OR(F24="",J24="Finalizada"),"",IF(F24&lt;TODAY(),"🔴 SIM","🟢 NÃO"))</f>
        <v/>
      </c>
    </row>
    <row r="25" customFormat="false" ht="15" hidden="false" customHeight="false" outlineLevel="0" collapsed="false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22" t="str">
        <f aca="true">IF(OR(F25="",J25="Finalizada"),"",IF(F25&lt;TODAY(),"🔴 SIM","🟢 NÃO"))</f>
        <v/>
      </c>
    </row>
    <row r="26" customFormat="false" ht="15" hidden="false" customHeight="false" outlineLevel="0" collapsed="false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22" t="str">
        <f aca="true">IF(OR(F26="",J26="Finalizada"),"",IF(F26&lt;TODAY(),"🔴 SIM","🟢 NÃO"))</f>
        <v/>
      </c>
    </row>
    <row r="27" customFormat="false" ht="15" hidden="false" customHeight="false" outlineLevel="0" collapsed="false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22" t="str">
        <f aca="true">IF(OR(F27="",J27="Finalizada"),"",IF(F27&lt;TODAY(),"🔴 SIM","🟢 NÃO"))</f>
        <v/>
      </c>
    </row>
    <row r="28" customFormat="false" ht="15" hidden="false" customHeight="false" outlineLevel="0" collapsed="false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22" t="str">
        <f aca="true">IF(OR(F28="",J28="Finalizada"),"",IF(F28&lt;TODAY(),"🔴 SIM","🟢 NÃO"))</f>
        <v/>
      </c>
    </row>
    <row r="29" customFormat="false" ht="15" hidden="false" customHeight="false" outlineLevel="0" collapsed="false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22" t="str">
        <f aca="true">IF(OR(F29="",J29="Finalizada"),"",IF(F29&lt;TODAY(),"🔴 SIM","🟢 NÃO"))</f>
        <v/>
      </c>
    </row>
    <row r="30" customFormat="false" ht="15" hidden="false" customHeight="false" outlineLevel="0" collapsed="false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22" t="str">
        <f aca="true">IF(OR(F30="",J30="Finalizada"),"",IF(F30&lt;TODAY(),"🔴 SIM","🟢 NÃO"))</f>
        <v/>
      </c>
    </row>
    <row r="31" customFormat="false" ht="15" hidden="false" customHeight="false" outlineLevel="0" collapsed="false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22" t="str">
        <f aca="true">IF(OR(F31="",J31="Finalizada"),"",IF(F31&lt;TODAY(),"🔴 SIM","🟢 NÃO"))</f>
        <v/>
      </c>
    </row>
    <row r="32" customFormat="false" ht="15" hidden="false" customHeight="false" outlineLevel="0" collapsed="false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22" t="str">
        <f aca="true">IF(OR(F32="",J32="Finalizada"),"",IF(F32&lt;TODAY(),"🔴 SIM","🟢 NÃO"))</f>
        <v/>
      </c>
    </row>
    <row r="33" customFormat="false" ht="15" hidden="false" customHeight="false" outlineLevel="0" collapsed="false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22" t="str">
        <f aca="true">IF(OR(F33="",J33="Finalizada"),"",IF(F33&lt;TODAY(),"🔴 SIM","🟢 NÃO"))</f>
        <v/>
      </c>
    </row>
    <row r="34" customFormat="false" ht="15" hidden="false" customHeight="false" outlineLevel="0" collapsed="false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22" t="str">
        <f aca="true">IF(OR(F34="",J34="Finalizada"),"",IF(F34&lt;TODAY(),"🔴 SIM","🟢 NÃO"))</f>
        <v/>
      </c>
    </row>
    <row r="35" customFormat="false" ht="15" hidden="false" customHeight="false" outlineLevel="0" collapsed="false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22" t="str">
        <f aca="true">IF(OR(F35="",J35="Finalizada"),"",IF(F35&lt;TODAY(),"🔴 SIM","🟢 NÃO"))</f>
        <v/>
      </c>
    </row>
    <row r="36" customFormat="false" ht="15" hidden="false" customHeight="false" outlineLevel="0" collapsed="false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22" t="str">
        <f aca="true">IF(OR(F36="",J36="Finalizada"),"",IF(F36&lt;TODAY(),"🔴 SIM","🟢 NÃO"))</f>
        <v/>
      </c>
    </row>
    <row r="37" customFormat="false" ht="15" hidden="false" customHeight="false" outlineLevel="0" collapsed="false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22" t="str">
        <f aca="true">IF(OR(F37="",J37="Finalizada"),"",IF(F37&lt;TODAY(),"🔴 SIM","🟢 NÃO"))</f>
        <v/>
      </c>
    </row>
    <row r="38" customFormat="false" ht="15" hidden="false" customHeight="false" outlineLevel="0" collapsed="false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22" t="str">
        <f aca="true">IF(OR(F38="",J38="Finalizada"),"",IF(F38&lt;TODAY(),"🔴 SIM","🟢 NÃO"))</f>
        <v/>
      </c>
    </row>
    <row r="39" customFormat="false" ht="15" hidden="false" customHeight="false" outlineLevel="0" collapsed="false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22" t="str">
        <f aca="true">IF(OR(F39="",J39="Finalizada"),"",IF(F39&lt;TODAY(),"🔴 SIM","🟢 NÃO"))</f>
        <v/>
      </c>
    </row>
    <row r="40" customFormat="false" ht="15" hidden="false" customHeight="false" outlineLevel="0" collapsed="false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22" t="str">
        <f aca="true">IF(OR(F40="",J40="Finalizada"),"",IF(F40&lt;TODAY(),"🔴 SIM","🟢 NÃO"))</f>
        <v/>
      </c>
    </row>
    <row r="41" customFormat="false" ht="15" hidden="false" customHeight="false" outlineLevel="0" collapsed="false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22" t="str">
        <f aca="true">IF(OR(F41="",J41="Finalizada"),"",IF(F41&lt;TODAY(),"🔴 SIM","🟢 NÃO"))</f>
        <v/>
      </c>
    </row>
    <row r="42" customFormat="false" ht="15" hidden="false" customHeight="false" outlineLevel="0" collapsed="false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22" t="str">
        <f aca="true">IF(OR(F42="",J42="Finalizada"),"",IF(F42&lt;TODAY(),"🔴 SIM","🟢 NÃO"))</f>
        <v/>
      </c>
    </row>
    <row r="43" customFormat="false" ht="15" hidden="false" customHeight="false" outlineLevel="0" collapsed="false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22" t="str">
        <f aca="true">IF(OR(F43="",J43="Finalizada"),"",IF(F43&lt;TODAY(),"🔴 SIM","🟢 NÃO"))</f>
        <v/>
      </c>
    </row>
    <row r="44" customFormat="false" ht="15" hidden="false" customHeight="false" outlineLevel="0" collapsed="false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22" t="str">
        <f aca="true">IF(OR(F44="",J44="Finalizada"),"",IF(F44&lt;TODAY(),"🔴 SIM","🟢 NÃO"))</f>
        <v/>
      </c>
    </row>
    <row r="45" customFormat="false" ht="15" hidden="false" customHeight="false" outlineLevel="0" collapsed="false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22" t="str">
        <f aca="true">IF(OR(F45="",J45="Finalizada"),"",IF(F45&lt;TODAY(),"🔴 SIM","🟢 NÃO"))</f>
        <v/>
      </c>
    </row>
    <row r="46" customFormat="false" ht="15" hidden="false" customHeight="false" outlineLevel="0" collapsed="false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22" t="str">
        <f aca="true">IF(OR(F46="",J46="Finalizada"),"",IF(F46&lt;TODAY(),"🔴 SIM","🟢 NÃO"))</f>
        <v/>
      </c>
    </row>
    <row r="47" customFormat="false" ht="15" hidden="false" customHeight="false" outlineLevel="0" collapsed="false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22" t="str">
        <f aca="true">IF(OR(F47="",J47="Finalizada"),"",IF(F47&lt;TODAY(),"🔴 SIM","🟢 NÃO"))</f>
        <v/>
      </c>
    </row>
    <row r="48" customFormat="false" ht="15" hidden="false" customHeight="false" outlineLevel="0" collapsed="false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22" t="str">
        <f aca="true">IF(OR(F48="",J48="Finalizada"),"",IF(F48&lt;TODAY(),"🔴 SIM","🟢 NÃO"))</f>
        <v/>
      </c>
    </row>
    <row r="49" customFormat="false" ht="15" hidden="false" customHeight="false" outlineLevel="0" collapsed="false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22" t="str">
        <f aca="true">IF(OR(F49="",J49="Finalizada"),"",IF(F49&lt;TODAY(),"🔴 SIM","🟢 NÃO"))</f>
        <v/>
      </c>
    </row>
    <row r="50" customFormat="false" ht="15" hidden="false" customHeight="false" outlineLevel="0" collapsed="false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22" t="str">
        <f aca="true">IF(OR(F50="",J50="Finalizada"),"",IF(F50&lt;TODAY(),"🔴 SIM","🟢 NÃO"))</f>
        <v/>
      </c>
    </row>
    <row r="51" customFormat="false" ht="15" hidden="false" customHeight="false" outlineLevel="0" collapsed="false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22" t="str">
        <f aca="true">IF(OR(F51="",J51="Finalizada"),"",IF(F51&lt;TODAY(),"🔴 SIM","🟢 NÃO"))</f>
        <v/>
      </c>
    </row>
    <row r="52" customFormat="false" ht="15" hidden="false" customHeight="false" outlineLevel="0" collapsed="false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22" t="str">
        <f aca="true">IF(OR(F52="",J52="Finalizada"),"",IF(F52&lt;TODAY(),"🔴 SIM","🟢 NÃO"))</f>
        <v/>
      </c>
    </row>
    <row r="53" customFormat="false" ht="15" hidden="false" customHeight="false" outlineLevel="0" collapsed="false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22" t="str">
        <f aca="true">IF(OR(F53="",J53="Finalizada"),"",IF(F53&lt;TODAY(),"🔴 SIM","🟢 NÃO"))</f>
        <v/>
      </c>
    </row>
    <row r="54" customFormat="false" ht="15" hidden="false" customHeight="false" outlineLevel="0" collapsed="false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22" t="str">
        <f aca="true">IF(OR(F54="",J54="Finalizada"),"",IF(F54&lt;TODAY(),"🔴 SIM","🟢 NÃO"))</f>
        <v/>
      </c>
    </row>
  </sheetData>
  <mergeCells count="2">
    <mergeCell ref="A1:K1"/>
    <mergeCell ref="A2:K2"/>
  </mergeCells>
  <conditionalFormatting sqref="K5:K55">
    <cfRule type="expression" priority="2" aboveAverage="0" equalAverage="0" bottom="0" percent="0" rank="0" text="" dxfId="0">
      <formula>ISNUMBER(SEARCH("SIM",K5))</formula>
    </cfRule>
  </conditionalFormatting>
  <conditionalFormatting sqref="H5:H55">
    <cfRule type="dataBar" priority="3">
      <dataBar showValue="1" minLength="10" maxLength="90">
        <cfvo type="num" val="0"/>
        <cfvo type="num" val="1"/>
        <color rgb="FF10B981"/>
      </dataBar>
      <extLst>
        <ext xmlns:x14="http://schemas.microsoft.com/office/spreadsheetml/2009/9/main" uri="{B025F937-C7B1-47D3-B67F-A62EFF666E3E}">
          <x14:id>{C1B4DDC5-DFCE-4C56-A8AF-7CAFA932238C}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B4DDC5-DFCE-4C56-A8AF-7CAFA932238C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0B981"/>
              <x14:axisColor rgb="FF000000"/>
            </x14:dataBar>
          </x14:cfRule>
          <xm:sqref>H5:H55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20"/>
  </cols>
  <sheetData>
    <row r="1" customFormat="false" ht="27.75" hidden="false" customHeight="true" outlineLevel="0" collapsed="false">
      <c r="A1" s="17" t="s">
        <v>100</v>
      </c>
      <c r="B1" s="17"/>
      <c r="C1" s="17"/>
      <c r="D1" s="17"/>
      <c r="E1" s="17"/>
      <c r="F1" s="17"/>
    </row>
    <row r="2" customFormat="false" ht="15" hidden="false" customHeight="true" outlineLevel="0" collapsed="false">
      <c r="A2" s="18" t="s">
        <v>101</v>
      </c>
      <c r="B2" s="18"/>
      <c r="C2" s="18"/>
      <c r="D2" s="18"/>
      <c r="E2" s="18"/>
      <c r="F2" s="18"/>
    </row>
    <row r="4" customFormat="false" ht="27.75" hidden="false" customHeight="true" outlineLevel="0" collapsed="false">
      <c r="A4" s="13" t="s">
        <v>102</v>
      </c>
      <c r="B4" s="13" t="s">
        <v>103</v>
      </c>
      <c r="C4" s="13" t="s">
        <v>104</v>
      </c>
      <c r="D4" s="13" t="s">
        <v>105</v>
      </c>
      <c r="E4" s="13" t="s">
        <v>106</v>
      </c>
      <c r="F4" s="13" t="s">
        <v>60</v>
      </c>
    </row>
    <row r="5" customFormat="false" ht="15" hidden="false" customHeight="false" outlineLevel="0" collapsed="false">
      <c r="A5" s="23" t="s">
        <v>107</v>
      </c>
      <c r="B5" s="19" t="n">
        <v>8</v>
      </c>
      <c r="C5" s="19" t="n">
        <v>6</v>
      </c>
      <c r="D5" s="23" t="n">
        <f aca="false">B5-C5</f>
        <v>2</v>
      </c>
      <c r="E5" s="21" t="n">
        <f aca="false">IFERROR(C5/B5,0)</f>
        <v>0.75</v>
      </c>
      <c r="F5" s="22" t="str">
        <f aca="false">IF(C5&gt;B5,"🔴 SOBRECARGA",IF(C5/B5&gt;=0.9,"🟡 QUASE CHEIO",IF(C5/B5&gt;=0.5,"🟢 OK","⚪ DISPONÍVEL")))</f>
        <v>🟢 OK</v>
      </c>
    </row>
    <row r="6" customFormat="false" ht="15" hidden="false" customHeight="false" outlineLevel="0" collapsed="false">
      <c r="A6" s="23" t="s">
        <v>108</v>
      </c>
      <c r="B6" s="19" t="n">
        <v>8</v>
      </c>
      <c r="C6" s="19" t="n">
        <v>7</v>
      </c>
      <c r="D6" s="23" t="n">
        <f aca="false">B6-C6</f>
        <v>1</v>
      </c>
      <c r="E6" s="21" t="n">
        <f aca="false">IFERROR(C6/B6,0)</f>
        <v>0.875</v>
      </c>
      <c r="F6" s="22" t="str">
        <f aca="false">IF(C6&gt;B6,"🔴 SOBRECARGA",IF(C6/B6&gt;=0.9,"🟡 QUASE CHEIO",IF(C6/B6&gt;=0.5,"🟢 OK","⚪ DISPONÍVEL")))</f>
        <v>🟢 OK</v>
      </c>
    </row>
    <row r="7" customFormat="false" ht="15" hidden="false" customHeight="false" outlineLevel="0" collapsed="false">
      <c r="A7" s="23" t="s">
        <v>109</v>
      </c>
      <c r="B7" s="19" t="n">
        <v>10</v>
      </c>
      <c r="C7" s="19" t="n">
        <v>9</v>
      </c>
      <c r="D7" s="23" t="n">
        <f aca="false">B7-C7</f>
        <v>1</v>
      </c>
      <c r="E7" s="21" t="n">
        <f aca="false">IFERROR(C7/B7,0)</f>
        <v>0.9</v>
      </c>
      <c r="F7" s="22" t="str">
        <f aca="false">IF(C7&gt;B7,"🔴 SOBRECARGA",IF(C7/B7&gt;=0.9,"🟡 QUASE CHEIO",IF(C7/B7&gt;=0.5,"🟢 OK","⚪ DISPONÍVEL")))</f>
        <v>🟡 QUASE CHEIO</v>
      </c>
    </row>
    <row r="8" customFormat="false" ht="15" hidden="false" customHeight="false" outlineLevel="0" collapsed="false">
      <c r="A8" s="23" t="s">
        <v>110</v>
      </c>
      <c r="B8" s="19" t="n">
        <v>10</v>
      </c>
      <c r="C8" s="19" t="n">
        <v>11</v>
      </c>
      <c r="D8" s="23" t="n">
        <f aca="false">B8-C8</f>
        <v>-1</v>
      </c>
      <c r="E8" s="21" t="n">
        <f aca="false">IFERROR(C8/B8,0)</f>
        <v>1.1</v>
      </c>
      <c r="F8" s="22" t="str">
        <f aca="false">IF(C8&gt;B8,"🔴 SOBRECARGA",IF(C8/B8&gt;=0.9,"🟡 QUASE CHEIO",IF(C8/B8&gt;=0.5,"🟢 OK","⚪ DISPONÍVEL")))</f>
        <v>🔴 SOBRECARGA</v>
      </c>
    </row>
    <row r="9" customFormat="false" ht="15" hidden="false" customHeight="false" outlineLevel="0" collapsed="false">
      <c r="A9" s="23" t="s">
        <v>111</v>
      </c>
      <c r="B9" s="19" t="n">
        <v>12</v>
      </c>
      <c r="C9" s="19" t="n">
        <v>10</v>
      </c>
      <c r="D9" s="23" t="n">
        <f aca="false">B9-C9</f>
        <v>2</v>
      </c>
      <c r="E9" s="21" t="n">
        <f aca="false">IFERROR(C9/B9,0)</f>
        <v>0.833333333333333</v>
      </c>
      <c r="F9" s="22" t="str">
        <f aca="false">IF(C9&gt;B9,"🔴 SOBRECARGA",IF(C9/B9&gt;=0.9,"🟡 QUASE CHEIO",IF(C9/B9&gt;=0.5,"🟢 OK","⚪ DISPONÍVEL")))</f>
        <v>🟢 OK</v>
      </c>
    </row>
    <row r="10" customFormat="false" ht="15" hidden="false" customHeight="false" outlineLevel="0" collapsed="false">
      <c r="A10" s="23" t="s">
        <v>112</v>
      </c>
      <c r="B10" s="19" t="n">
        <v>12</v>
      </c>
      <c r="C10" s="19" t="n">
        <v>8</v>
      </c>
      <c r="D10" s="23" t="n">
        <f aca="false">B10-C10</f>
        <v>4</v>
      </c>
      <c r="E10" s="21" t="n">
        <f aca="false">IFERROR(C10/B10,0)</f>
        <v>0.666666666666667</v>
      </c>
      <c r="F10" s="22" t="str">
        <f aca="false">IF(C10&gt;B10,"🔴 SOBRECARGA",IF(C10/B10&gt;=0.9,"🟡 QUASE CHEIO",IF(C10/B10&gt;=0.5,"🟢 OK","⚪ DISPONÍVEL")))</f>
        <v>🟢 OK</v>
      </c>
    </row>
    <row r="11" customFormat="false" ht="15" hidden="false" customHeight="false" outlineLevel="0" collapsed="false">
      <c r="A11" s="23" t="s">
        <v>113</v>
      </c>
      <c r="B11" s="19" t="n">
        <v>10</v>
      </c>
      <c r="C11" s="19" t="n">
        <v>4</v>
      </c>
      <c r="D11" s="23" t="n">
        <f aca="false">B11-C11</f>
        <v>6</v>
      </c>
      <c r="E11" s="21" t="n">
        <f aca="false">IFERROR(C11/B11,0)</f>
        <v>0.4</v>
      </c>
      <c r="F11" s="22" t="str">
        <f aca="false">IF(C11&gt;B11,"🔴 SOBRECARGA",IF(C11/B11&gt;=0.9,"🟡 QUASE CHEIO",IF(C11/B11&gt;=0.5,"🟢 OK","⚪ DISPONÍVEL")))</f>
        <v>⚪ DISPONÍVEL</v>
      </c>
    </row>
    <row r="12" customFormat="false" ht="15" hidden="false" customHeight="false" outlineLevel="0" collapsed="false">
      <c r="A12" s="23" t="s">
        <v>114</v>
      </c>
      <c r="B12" s="19" t="n">
        <v>6</v>
      </c>
      <c r="C12" s="19" t="n">
        <v>1</v>
      </c>
      <c r="D12" s="23" t="n">
        <f aca="false">B12-C12</f>
        <v>5</v>
      </c>
      <c r="E12" s="21" t="n">
        <f aca="false">IFERROR(C12/B12,0)</f>
        <v>0.166666666666667</v>
      </c>
      <c r="F12" s="22" t="str">
        <f aca="false">IF(C12&gt;B12,"🔴 SOBRECARGA",IF(C12/B12&gt;=0.9,"🟡 QUASE CHEIO",IF(C12/B12&gt;=0.5,"🟢 OK","⚪ DISPONÍVEL")))</f>
        <v>⚪ DISPONÍVEL</v>
      </c>
    </row>
    <row r="13" customFormat="false" ht="15" hidden="false" customHeight="false" outlineLevel="0" collapsed="false">
      <c r="A13" s="23" t="s">
        <v>115</v>
      </c>
      <c r="B13" s="19" t="n">
        <v>10</v>
      </c>
      <c r="C13" s="19" t="n">
        <v>2</v>
      </c>
      <c r="D13" s="23" t="n">
        <f aca="false">B13-C13</f>
        <v>8</v>
      </c>
      <c r="E13" s="21" t="n">
        <f aca="false">IFERROR(C13/B13,0)</f>
        <v>0.2</v>
      </c>
      <c r="F13" s="22" t="str">
        <f aca="false">IF(C13&gt;B13,"🔴 SOBRECARGA",IF(C13/B13&gt;=0.9,"🟡 QUASE CHEIO",IF(C13/B13&gt;=0.5,"🟢 OK","⚪ DISPONÍVEL")))</f>
        <v>⚪ DISPONÍVEL</v>
      </c>
    </row>
    <row r="14" customFormat="false" ht="15" hidden="false" customHeight="false" outlineLevel="0" collapsed="false">
      <c r="A14" s="23" t="s">
        <v>116</v>
      </c>
      <c r="B14" s="19" t="n">
        <v>12</v>
      </c>
      <c r="C14" s="19" t="n">
        <v>1</v>
      </c>
      <c r="D14" s="23" t="n">
        <f aca="false">B14-C14</f>
        <v>11</v>
      </c>
      <c r="E14" s="21" t="n">
        <f aca="false">IFERROR(C14/B14,0)</f>
        <v>0.0833333333333333</v>
      </c>
      <c r="F14" s="22" t="str">
        <f aca="false">IF(C14&gt;B14,"🔴 SOBRECARGA",IF(C14/B14&gt;=0.9,"🟡 QUASE CHEIO",IF(C14/B14&gt;=0.5,"🟢 OK","⚪ DISPONÍVEL")))</f>
        <v>⚪ DISPONÍVEL</v>
      </c>
    </row>
    <row r="15" customFormat="false" ht="15" hidden="false" customHeight="false" outlineLevel="0" collapsed="false">
      <c r="A15" s="23" t="s">
        <v>117</v>
      </c>
      <c r="B15" s="19" t="n">
        <v>12</v>
      </c>
      <c r="C15" s="19" t="n">
        <v>0</v>
      </c>
      <c r="D15" s="23" t="n">
        <f aca="false">B15-C15</f>
        <v>12</v>
      </c>
      <c r="E15" s="21" t="n">
        <f aca="false">IFERROR(C15/B15,0)</f>
        <v>0</v>
      </c>
      <c r="F15" s="22" t="str">
        <f aca="false">IF(C15&gt;B15,"🔴 SOBRECARGA",IF(C15/B15&gt;=0.9,"🟡 QUASE CHEIO",IF(C15/B15&gt;=0.5,"🟢 OK","⚪ DISPONÍVEL")))</f>
        <v>⚪ DISPONÍVEL</v>
      </c>
    </row>
    <row r="16" customFormat="false" ht="15" hidden="false" customHeight="false" outlineLevel="0" collapsed="false">
      <c r="A16" s="23" t="s">
        <v>118</v>
      </c>
      <c r="B16" s="19" t="n">
        <v>8</v>
      </c>
      <c r="C16" s="19" t="n">
        <v>0</v>
      </c>
      <c r="D16" s="23" t="n">
        <f aca="false">B16-C16</f>
        <v>8</v>
      </c>
      <c r="E16" s="21" t="n">
        <f aca="false">IFERROR(C16/B16,0)</f>
        <v>0</v>
      </c>
      <c r="F16" s="22" t="str">
        <f aca="false">IF(C16&gt;B16,"🔴 SOBRECARGA",IF(C16/B16&gt;=0.9,"🟡 QUASE CHEIO",IF(C16/B16&gt;=0.5,"🟢 OK","⚪ DISPONÍVEL")))</f>
        <v>⚪ DISPONÍVEL</v>
      </c>
    </row>
  </sheetData>
  <mergeCells count="2">
    <mergeCell ref="A1:F1"/>
    <mergeCell ref="A2:F2"/>
  </mergeCells>
  <conditionalFormatting sqref="F5:F16">
    <cfRule type="expression" priority="2" aboveAverage="0" equalAverage="0" bottom="0" percent="0" rank="0" text="" dxfId="0">
      <formula>ISNUMBER(SEARCH("SOBRECARGA",F5))</formula>
    </cfRule>
    <cfRule type="expression" priority="3" aboveAverage="0" equalAverage="0" bottom="0" percent="0" rank="0" text="" dxfId="1">
      <formula>ISNUMBER(SEARCH("QUASE",F5))</formula>
    </cfRule>
    <cfRule type="expression" priority="4" aboveAverage="0" equalAverage="0" bottom="0" percent="0" rank="0" text="" dxfId="2">
      <formula>ISNUMBER(SEARCH("OK",F5))</formula>
    </cfRule>
  </conditionalFormatting>
  <conditionalFormatting sqref="E5:E16">
    <cfRule type="dataBar" priority="5">
      <dataBar showValue="1" minLength="10" maxLength="90">
        <cfvo type="num" val="0"/>
        <cfvo type="num" val="1"/>
        <color rgb="FF3B82F6"/>
      </dataBar>
      <extLst>
        <ext xmlns:x14="http://schemas.microsoft.com/office/spreadsheetml/2009/9/main" uri="{B025F937-C7B1-47D3-B67F-A62EFF666E3E}">
          <x14:id>{B05454B2-DDE6-478C-BBF4-42F3F8BFAB88}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5454B2-DDE6-478C-BBF4-42F3F8BFAB88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3B82F6"/>
              <x14:axisColor rgb="FF000000"/>
            </x14:dataBar>
          </x14:cfRule>
          <xm:sqref>E5:E16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5" min="4" style="0" width="16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4"/>
  </cols>
  <sheetData>
    <row r="1" customFormat="false" ht="27.75" hidden="false" customHeight="true" outlineLevel="0" collapsed="false">
      <c r="A1" s="17" t="s">
        <v>119</v>
      </c>
      <c r="B1" s="17"/>
      <c r="C1" s="17"/>
      <c r="D1" s="17"/>
      <c r="E1" s="17"/>
      <c r="F1" s="17"/>
      <c r="G1" s="17"/>
      <c r="H1" s="17"/>
      <c r="I1" s="17"/>
    </row>
    <row r="2" customFormat="false" ht="15" hidden="false" customHeight="true" outlineLevel="0" collapsed="false">
      <c r="A2" s="18" t="s">
        <v>120</v>
      </c>
      <c r="B2" s="18"/>
      <c r="C2" s="18"/>
      <c r="D2" s="18"/>
      <c r="E2" s="18"/>
      <c r="F2" s="18"/>
      <c r="G2" s="18"/>
      <c r="H2" s="18"/>
      <c r="I2" s="18"/>
    </row>
    <row r="4" customFormat="false" ht="27.75" hidden="false" customHeight="true" outlineLevel="0" collapsed="false">
      <c r="A4" s="13" t="s">
        <v>121</v>
      </c>
      <c r="B4" s="13" t="s">
        <v>122</v>
      </c>
      <c r="C4" s="13" t="s">
        <v>123</v>
      </c>
      <c r="D4" s="13" t="s">
        <v>124</v>
      </c>
      <c r="E4" s="13" t="s">
        <v>125</v>
      </c>
      <c r="F4" s="13" t="s">
        <v>126</v>
      </c>
      <c r="G4" s="13" t="s">
        <v>127</v>
      </c>
      <c r="H4" s="13" t="s">
        <v>128</v>
      </c>
      <c r="I4" s="13" t="s">
        <v>129</v>
      </c>
    </row>
    <row r="5" customFormat="false" ht="15" hidden="false" customHeight="false" outlineLevel="0" collapsed="false">
      <c r="A5" s="19" t="s">
        <v>130</v>
      </c>
      <c r="B5" s="15" t="s">
        <v>131</v>
      </c>
      <c r="C5" s="19" t="s">
        <v>132</v>
      </c>
      <c r="D5" s="19" t="s">
        <v>133</v>
      </c>
      <c r="E5" s="24" t="n">
        <v>90</v>
      </c>
      <c r="F5" s="19" t="n">
        <v>22</v>
      </c>
      <c r="G5" s="24" t="n">
        <v>120</v>
      </c>
      <c r="H5" s="25" t="n">
        <f aca="false">E5*F5+G5</f>
        <v>2100</v>
      </c>
      <c r="I5" s="19" t="s">
        <v>134</v>
      </c>
    </row>
    <row r="6" customFormat="false" ht="15" hidden="false" customHeight="false" outlineLevel="0" collapsed="false">
      <c r="A6" s="19" t="s">
        <v>135</v>
      </c>
      <c r="B6" s="15" t="s">
        <v>136</v>
      </c>
      <c r="C6" s="19" t="s">
        <v>137</v>
      </c>
      <c r="D6" s="19" t="s">
        <v>133</v>
      </c>
      <c r="E6" s="24" t="n">
        <v>85</v>
      </c>
      <c r="F6" s="19" t="n">
        <v>22</v>
      </c>
      <c r="G6" s="24" t="n">
        <v>80</v>
      </c>
      <c r="H6" s="25" t="n">
        <f aca="false">E6*F6+G6</f>
        <v>1950</v>
      </c>
      <c r="I6" s="19" t="s">
        <v>134</v>
      </c>
    </row>
    <row r="7" customFormat="false" ht="15" hidden="false" customHeight="false" outlineLevel="0" collapsed="false">
      <c r="A7" s="19" t="s">
        <v>138</v>
      </c>
      <c r="B7" s="15" t="s">
        <v>139</v>
      </c>
      <c r="C7" s="19" t="s">
        <v>140</v>
      </c>
      <c r="D7" s="19" t="s">
        <v>141</v>
      </c>
      <c r="E7" s="24" t="n">
        <v>80</v>
      </c>
      <c r="F7" s="19" t="n">
        <v>22</v>
      </c>
      <c r="G7" s="24" t="n">
        <v>150</v>
      </c>
      <c r="H7" s="25" t="n">
        <f aca="false">E7*F7+G7</f>
        <v>1910</v>
      </c>
      <c r="I7" s="19" t="s">
        <v>134</v>
      </c>
    </row>
    <row r="8" customFormat="false" ht="15" hidden="false" customHeight="false" outlineLevel="0" collapsed="false">
      <c r="A8" s="19" t="s">
        <v>142</v>
      </c>
      <c r="B8" s="15" t="s">
        <v>143</v>
      </c>
      <c r="C8" s="19" t="s">
        <v>144</v>
      </c>
      <c r="D8" s="19" t="s">
        <v>133</v>
      </c>
      <c r="E8" s="24" t="n">
        <v>60</v>
      </c>
      <c r="F8" s="19" t="n">
        <v>22</v>
      </c>
      <c r="G8" s="24" t="n">
        <v>0</v>
      </c>
      <c r="H8" s="25" t="n">
        <f aca="false">E8*F8+G8</f>
        <v>1320</v>
      </c>
      <c r="I8" s="19" t="s">
        <v>134</v>
      </c>
    </row>
    <row r="9" customFormat="false" ht="15" hidden="false" customHeight="false" outlineLevel="0" collapsed="false">
      <c r="A9" s="19" t="s">
        <v>145</v>
      </c>
      <c r="B9" s="15" t="s">
        <v>146</v>
      </c>
      <c r="C9" s="19" t="s">
        <v>144</v>
      </c>
      <c r="D9" s="19" t="s">
        <v>141</v>
      </c>
      <c r="E9" s="24" t="n">
        <v>60</v>
      </c>
      <c r="F9" s="19" t="n">
        <v>22</v>
      </c>
      <c r="G9" s="24" t="n">
        <v>0</v>
      </c>
      <c r="H9" s="25" t="n">
        <f aca="false">E9*F9+G9</f>
        <v>1320</v>
      </c>
      <c r="I9" s="19" t="s">
        <v>134</v>
      </c>
    </row>
    <row r="10" customFormat="false" ht="15" hidden="false" customHeight="false" outlineLevel="0" collapsed="false">
      <c r="A10" s="19"/>
      <c r="B10" s="15"/>
      <c r="C10" s="19"/>
      <c r="D10" s="19"/>
      <c r="E10" s="24"/>
      <c r="F10" s="19"/>
      <c r="G10" s="24"/>
      <c r="H10" s="24" t="str">
        <f aca="false">IF(AND(E10&lt;&gt;"",F10&lt;&gt;""),E10*F10+IF(G10="",0,G10),"")</f>
        <v/>
      </c>
      <c r="I10" s="19"/>
    </row>
    <row r="11" customFormat="false" ht="15" hidden="false" customHeight="false" outlineLevel="0" collapsed="false">
      <c r="A11" s="19"/>
      <c r="B11" s="15"/>
      <c r="C11" s="19"/>
      <c r="D11" s="19"/>
      <c r="E11" s="24"/>
      <c r="F11" s="19"/>
      <c r="G11" s="24"/>
      <c r="H11" s="24" t="str">
        <f aca="false">IF(AND(E11&lt;&gt;"",F11&lt;&gt;""),E11*F11+IF(G11="",0,G11),"")</f>
        <v/>
      </c>
      <c r="I11" s="19"/>
    </row>
    <row r="12" customFormat="false" ht="15" hidden="false" customHeight="false" outlineLevel="0" collapsed="false">
      <c r="A12" s="19"/>
      <c r="B12" s="15"/>
      <c r="C12" s="19"/>
      <c r="D12" s="19"/>
      <c r="E12" s="24"/>
      <c r="F12" s="19"/>
      <c r="G12" s="24"/>
      <c r="H12" s="24" t="str">
        <f aca="false">IF(AND(E12&lt;&gt;"",F12&lt;&gt;""),E12*F12+IF(G12="",0,G12),"")</f>
        <v/>
      </c>
      <c r="I12" s="19"/>
    </row>
    <row r="13" customFormat="false" ht="15" hidden="false" customHeight="false" outlineLevel="0" collapsed="false">
      <c r="A13" s="19"/>
      <c r="B13" s="15"/>
      <c r="C13" s="19"/>
      <c r="D13" s="19"/>
      <c r="E13" s="24"/>
      <c r="F13" s="19"/>
      <c r="G13" s="24"/>
      <c r="H13" s="24" t="str">
        <f aca="false">IF(AND(E13&lt;&gt;"",F13&lt;&gt;""),E13*F13+IF(G13="",0,G13),"")</f>
        <v/>
      </c>
      <c r="I13" s="19"/>
    </row>
    <row r="14" customFormat="false" ht="15" hidden="false" customHeight="false" outlineLevel="0" collapsed="false">
      <c r="A14" s="19"/>
      <c r="B14" s="15"/>
      <c r="C14" s="19"/>
      <c r="D14" s="19"/>
      <c r="E14" s="24"/>
      <c r="F14" s="19"/>
      <c r="G14" s="24"/>
      <c r="H14" s="24" t="str">
        <f aca="false">IF(AND(E14&lt;&gt;"",F14&lt;&gt;""),E14*F14+IF(G14="",0,G14),"")</f>
        <v/>
      </c>
      <c r="I14" s="19"/>
    </row>
    <row r="15" customFormat="false" ht="15" hidden="false" customHeight="false" outlineLevel="0" collapsed="false">
      <c r="A15" s="19"/>
      <c r="B15" s="15"/>
      <c r="C15" s="19"/>
      <c r="D15" s="19"/>
      <c r="E15" s="24"/>
      <c r="F15" s="19"/>
      <c r="G15" s="24"/>
      <c r="H15" s="24" t="str">
        <f aca="false">IF(AND(E15&lt;&gt;"",F15&lt;&gt;""),E15*F15+IF(G15="",0,G15),"")</f>
        <v/>
      </c>
      <c r="I15" s="19"/>
    </row>
    <row r="16" customFormat="false" ht="15" hidden="false" customHeight="false" outlineLevel="0" collapsed="false">
      <c r="A16" s="19"/>
      <c r="B16" s="15"/>
      <c r="C16" s="19"/>
      <c r="D16" s="19"/>
      <c r="E16" s="24"/>
      <c r="F16" s="19"/>
      <c r="G16" s="24"/>
      <c r="H16" s="24" t="str">
        <f aca="false">IF(AND(E16&lt;&gt;"",F16&lt;&gt;""),E16*F16+IF(G16="",0,G16),"")</f>
        <v/>
      </c>
      <c r="I16" s="19"/>
    </row>
    <row r="17" customFormat="false" ht="15" hidden="false" customHeight="false" outlineLevel="0" collapsed="false">
      <c r="A17" s="19"/>
      <c r="B17" s="15"/>
      <c r="C17" s="19"/>
      <c r="D17" s="19"/>
      <c r="E17" s="24"/>
      <c r="F17" s="19"/>
      <c r="G17" s="24"/>
      <c r="H17" s="24" t="str">
        <f aca="false">IF(AND(E17&lt;&gt;"",F17&lt;&gt;""),E17*F17+IF(G17="",0,G17),"")</f>
        <v/>
      </c>
      <c r="I17" s="19"/>
    </row>
    <row r="18" customFormat="false" ht="15" hidden="false" customHeight="false" outlineLevel="0" collapsed="false">
      <c r="A18" s="19"/>
      <c r="B18" s="15"/>
      <c r="C18" s="19"/>
      <c r="D18" s="19"/>
      <c r="E18" s="24"/>
      <c r="F18" s="19"/>
      <c r="G18" s="24"/>
      <c r="H18" s="24" t="str">
        <f aca="false">IF(AND(E18&lt;&gt;"",F18&lt;&gt;""),E18*F18+IF(G18="",0,G18),"")</f>
        <v/>
      </c>
      <c r="I18" s="19"/>
    </row>
    <row r="19" customFormat="false" ht="15" hidden="false" customHeight="false" outlineLevel="0" collapsed="false">
      <c r="A19" s="19"/>
      <c r="B19" s="15"/>
      <c r="C19" s="19"/>
      <c r="D19" s="19"/>
      <c r="E19" s="24"/>
      <c r="F19" s="19"/>
      <c r="G19" s="24"/>
      <c r="H19" s="24" t="str">
        <f aca="false">IF(AND(E19&lt;&gt;"",F19&lt;&gt;""),E19*F19+IF(G19="",0,G19),"")</f>
        <v/>
      </c>
      <c r="I19" s="19"/>
    </row>
    <row r="20" customFormat="false" ht="15" hidden="false" customHeight="false" outlineLevel="0" collapsed="false">
      <c r="A20" s="19"/>
      <c r="B20" s="15"/>
      <c r="C20" s="19"/>
      <c r="D20" s="19"/>
      <c r="E20" s="24"/>
      <c r="F20" s="19"/>
      <c r="G20" s="24"/>
      <c r="H20" s="24" t="str">
        <f aca="false">IF(AND(E20&lt;&gt;"",F20&lt;&gt;""),E20*F20+IF(G20="",0,G20),"")</f>
        <v/>
      </c>
      <c r="I20" s="19"/>
    </row>
    <row r="21" customFormat="false" ht="15" hidden="false" customHeight="false" outlineLevel="0" collapsed="false">
      <c r="A21" s="19"/>
      <c r="B21" s="15"/>
      <c r="C21" s="19"/>
      <c r="D21" s="19"/>
      <c r="E21" s="24"/>
      <c r="F21" s="19"/>
      <c r="G21" s="24"/>
      <c r="H21" s="24" t="str">
        <f aca="false">IF(AND(E21&lt;&gt;"",F21&lt;&gt;""),E21*F21+IF(G21="",0,G21),"")</f>
        <v/>
      </c>
      <c r="I21" s="19"/>
    </row>
    <row r="22" customFormat="false" ht="15" hidden="false" customHeight="false" outlineLevel="0" collapsed="false">
      <c r="A22" s="19"/>
      <c r="B22" s="15"/>
      <c r="C22" s="19"/>
      <c r="D22" s="19"/>
      <c r="E22" s="24"/>
      <c r="F22" s="19"/>
      <c r="G22" s="24"/>
      <c r="H22" s="24" t="str">
        <f aca="false">IF(AND(E22&lt;&gt;"",F22&lt;&gt;""),E22*F22+IF(G22="",0,G22),"")</f>
        <v/>
      </c>
      <c r="I22" s="19"/>
    </row>
    <row r="23" customFormat="false" ht="15" hidden="false" customHeight="false" outlineLevel="0" collapsed="false">
      <c r="A23" s="19"/>
      <c r="B23" s="15"/>
      <c r="C23" s="19"/>
      <c r="D23" s="19"/>
      <c r="E23" s="24"/>
      <c r="F23" s="19"/>
      <c r="G23" s="24"/>
      <c r="H23" s="24" t="str">
        <f aca="false">IF(AND(E23&lt;&gt;"",F23&lt;&gt;""),E23*F23+IF(G23="",0,G23),"")</f>
        <v/>
      </c>
      <c r="I23" s="19"/>
    </row>
    <row r="24" customFormat="false" ht="15" hidden="false" customHeight="false" outlineLevel="0" collapsed="false">
      <c r="A24" s="19"/>
      <c r="B24" s="15"/>
      <c r="C24" s="19"/>
      <c r="D24" s="19"/>
      <c r="E24" s="24"/>
      <c r="F24" s="19"/>
      <c r="G24" s="24"/>
      <c r="H24" s="24" t="str">
        <f aca="false">IF(AND(E24&lt;&gt;"",F24&lt;&gt;""),E24*F24+IF(G24="",0,G24),"")</f>
        <v/>
      </c>
      <c r="I24" s="19"/>
    </row>
    <row r="25" customFormat="false" ht="15" hidden="false" customHeight="false" outlineLevel="0" collapsed="false">
      <c r="A25" s="19"/>
      <c r="B25" s="15"/>
      <c r="C25" s="19"/>
      <c r="D25" s="19"/>
      <c r="E25" s="24"/>
      <c r="F25" s="19"/>
      <c r="G25" s="24"/>
      <c r="H25" s="24" t="str">
        <f aca="false">IF(AND(E25&lt;&gt;"",F25&lt;&gt;""),E25*F25+IF(G25="",0,G25),"")</f>
        <v/>
      </c>
      <c r="I25" s="19"/>
    </row>
    <row r="26" customFormat="false" ht="15" hidden="false" customHeight="false" outlineLevel="0" collapsed="false">
      <c r="A26" s="19"/>
      <c r="B26" s="15"/>
      <c r="C26" s="19"/>
      <c r="D26" s="19"/>
      <c r="E26" s="24"/>
      <c r="F26" s="19"/>
      <c r="G26" s="24"/>
      <c r="H26" s="24" t="str">
        <f aca="false">IF(AND(E26&lt;&gt;"",F26&lt;&gt;""),E26*F26+IF(G26="",0,G26),"")</f>
        <v/>
      </c>
      <c r="I26" s="19"/>
    </row>
    <row r="27" customFormat="false" ht="15" hidden="false" customHeight="false" outlineLevel="0" collapsed="false">
      <c r="A27" s="19"/>
      <c r="B27" s="15"/>
      <c r="C27" s="19"/>
      <c r="D27" s="19"/>
      <c r="E27" s="24"/>
      <c r="F27" s="19"/>
      <c r="G27" s="24"/>
      <c r="H27" s="24" t="str">
        <f aca="false">IF(AND(E27&lt;&gt;"",F27&lt;&gt;""),E27*F27+IF(G27="",0,G27),"")</f>
        <v/>
      </c>
      <c r="I27" s="19"/>
    </row>
    <row r="28" customFormat="false" ht="15" hidden="false" customHeight="false" outlineLevel="0" collapsed="false">
      <c r="A28" s="19"/>
      <c r="B28" s="15"/>
      <c r="C28" s="19"/>
      <c r="D28" s="19"/>
      <c r="E28" s="24"/>
      <c r="F28" s="19"/>
      <c r="G28" s="24"/>
      <c r="H28" s="24" t="str">
        <f aca="false">IF(AND(E28&lt;&gt;"",F28&lt;&gt;""),E28*F28+IF(G28="",0,G28),"")</f>
        <v/>
      </c>
      <c r="I28" s="19"/>
    </row>
    <row r="29" customFormat="false" ht="15" hidden="false" customHeight="false" outlineLevel="0" collapsed="false">
      <c r="A29" s="19"/>
      <c r="B29" s="15"/>
      <c r="C29" s="19"/>
      <c r="D29" s="19"/>
      <c r="E29" s="24"/>
      <c r="F29" s="19"/>
      <c r="G29" s="24"/>
      <c r="H29" s="24" t="str">
        <f aca="false">IF(AND(E29&lt;&gt;"",F29&lt;&gt;""),E29*F29+IF(G29="",0,G29),"")</f>
        <v/>
      </c>
      <c r="I29" s="19"/>
    </row>
    <row r="31" customFormat="false" ht="17.35" hidden="false" customHeight="false" outlineLevel="0" collapsed="false">
      <c r="G31" s="26" t="s">
        <v>147</v>
      </c>
      <c r="H31" s="27" t="n">
        <f aca="false">SUM(H5:H30)</f>
        <v>8600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2026-05-15T14:09:28Z</dcterms:created>
  <dc:creator>openpyxl</dc:creator>
  <dc:description/>
  <dc:language>en-US</dc:language>
  <cp:lastModifiedBy/>
  <dcterms:modified xsi:type="dcterms:W3CDTF">2026-05-15T14:09:28Z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