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ontas_a_Pagar" sheetId="2" state="visible" r:id="rId4"/>
    <sheet name="Contas_a_Receber" sheetId="3" state="visible" r:id="rId5"/>
    <sheet name="Custos_Fixos" sheetId="4" state="visible" r:id="rId6"/>
    <sheet name="Impostos" sheetId="5" state="visible" r:id="rId7"/>
    <sheet name="Fluxo_de_Caix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<sst xmlns="http://schemas.openxmlformats.org/spreadsheetml/2006/main" count="326" uniqueCount="222">
  <si>
    <t xml:space="preserve">RESUMO FINANCEIRO — ROBLE FUERTE</t>
  </si>
  <si>
    <t xml:space="preserve">Atualizado automaticamente — abra o arquivo para recalcular</t>
  </si>
  <si>
    <t xml:space="preserve">Total a Receber (Pendente)</t>
  </si>
  <si>
    <t xml:space="preserve">Total a Pagar (Pendente)</t>
  </si>
  <si>
    <t xml:space="preserve">Saldo Projetado</t>
  </si>
  <si>
    <t xml:space="preserve">Faturas VENCIDAS (€)</t>
  </si>
  <si>
    <t xml:space="preserve">Pagamentos VENCIDOS (€)</t>
  </si>
  <si>
    <t xml:space="preserve">Custos Fixos Mensais</t>
  </si>
  <si>
    <t xml:space="preserve">Impostos Pendentes (€)</t>
  </si>
  <si>
    <t xml:space="preserve">Nº Faturas a Receber</t>
  </si>
  <si>
    <t xml:space="preserve">Nº Contas a Pagar</t>
  </si>
  <si>
    <t xml:space="preserve">SEMÁFORO GERAL DA EMPRESA</t>
  </si>
  <si>
    <t xml:space="preserve">Liquidez:</t>
  </si>
  <si>
    <t xml:space="preserve">Vencidos:</t>
  </si>
  <si>
    <t xml:space="preserve">Impostos:</t>
  </si>
  <si>
    <t xml:space="preserve">COMO USAR ESTA PLANILHA</t>
  </si>
  <si>
    <t xml:space="preserve">1. Lance contas a pagar e receber nas abas correspondentes assim que chegarem as faturas.</t>
  </si>
  <si>
    <t xml:space="preserve">2. O semáforo é AUTOMÁTICO: 🔴 vencida, 🟡 vence em até 7 dias, 🟢 ok ou pago.</t>
  </si>
  <si>
    <t xml:space="preserve">3. Atualize o "Status" para "Pago" + data de pagamento — o item sai do total pendente sozinho.</t>
  </si>
  <si>
    <t xml:space="preserve">4. Os Custos Fixos rodam todo mês — replique no Contas a Pagar a cada virada de mês.</t>
  </si>
  <si>
    <t xml:space="preserve">5. O Fluxo de Caixa serve para PROJETAR — preencha estimativas e veja o saldo acumulado.</t>
  </si>
  <si>
    <t xml:space="preserve">6. Impostos: confira mensalmente o calendário fiscal junto à Gestoria.</t>
  </si>
  <si>
    <t xml:space="preserve">CONTAS A PAGAR</t>
  </si>
  <si>
    <t xml:space="preserve">Fornecedores, funcionários, impostos, custos fixos — com semáforo automático</t>
  </si>
  <si>
    <t xml:space="preserve">Total Pendente:</t>
  </si>
  <si>
    <t xml:space="preserve">Data Lanç.</t>
  </si>
  <si>
    <t xml:space="preserve">Fornecedor/Categoria</t>
  </si>
  <si>
    <t xml:space="preserve">Tipo</t>
  </si>
  <si>
    <t xml:space="preserve">Descrição</t>
  </si>
  <si>
    <t xml:space="preserve">Nº Fatura</t>
  </si>
  <si>
    <t xml:space="preserve">Valor (€)</t>
  </si>
  <si>
    <t xml:space="preserve">Emissão</t>
  </si>
  <si>
    <t xml:space="preserve">Vencimento</t>
  </si>
  <si>
    <t xml:space="preserve">Status</t>
  </si>
  <si>
    <t xml:space="preserve">Data Pagto</t>
  </si>
  <si>
    <t xml:space="preserve">Semáforo</t>
  </si>
  <si>
    <t xml:space="preserve">Dias p/ Vencer</t>
  </si>
  <si>
    <t xml:space="preserve">2026-05-01</t>
  </si>
  <si>
    <t xml:space="preserve">Maderas Madrid S.L.</t>
  </si>
  <si>
    <t xml:space="preserve">Fornecedor</t>
  </si>
  <si>
    <t xml:space="preserve">MDF + contraplacado pedido #1245</t>
  </si>
  <si>
    <t xml:space="preserve">F2026-145</t>
  </si>
  <si>
    <t xml:space="preserve">2026-05-31</t>
  </si>
  <si>
    <t xml:space="preserve">Pendente</t>
  </si>
  <si>
    <t xml:space="preserve">2026-05-03</t>
  </si>
  <si>
    <t xml:space="preserve">Lacas Premium</t>
  </si>
  <si>
    <t xml:space="preserve">Laca poliuretano branca 50L</t>
  </si>
  <si>
    <t xml:space="preserve">F2026-077</t>
  </si>
  <si>
    <t xml:space="preserve">Pago</t>
  </si>
  <si>
    <t xml:space="preserve">2026-05-05</t>
  </si>
  <si>
    <t xml:space="preserve">Aluguel Nave Industrial</t>
  </si>
  <si>
    <t xml:space="preserve">Custo Fixo</t>
  </si>
  <si>
    <t xml:space="preserve">Aluguel mensal nave</t>
  </si>
  <si>
    <t xml:space="preserve">REC-05</t>
  </si>
  <si>
    <t xml:space="preserve">2026-05-10</t>
  </si>
  <si>
    <t xml:space="preserve">Iberdrola</t>
  </si>
  <si>
    <t xml:space="preserve">Luz fábrica + escritório</t>
  </si>
  <si>
    <t xml:space="preserve">IB-05-26</t>
  </si>
  <si>
    <t xml:space="preserve">2026-05-20</t>
  </si>
  <si>
    <t xml:space="preserve">2026-05-12</t>
  </si>
  <si>
    <t xml:space="preserve">Canal Isabel II</t>
  </si>
  <si>
    <t xml:space="preserve">Água</t>
  </si>
  <si>
    <t xml:space="preserve">CAN-05</t>
  </si>
  <si>
    <t xml:space="preserve">2026-05-25</t>
  </si>
  <si>
    <t xml:space="preserve">2026-05-15</t>
  </si>
  <si>
    <t xml:space="preserve">Gestoria Fiscal</t>
  </si>
  <si>
    <t xml:space="preserve">Serviços contabilidade maio</t>
  </si>
  <si>
    <t xml:space="preserve">G-05-26</t>
  </si>
  <si>
    <t xml:space="preserve">2026-05-30</t>
  </si>
  <si>
    <t xml:space="preserve">Funcionários — Fábrica</t>
  </si>
  <si>
    <t xml:space="preserve">Folha Pagto</t>
  </si>
  <si>
    <t xml:space="preserve">Salários maio fábrica</t>
  </si>
  <si>
    <t xml:space="preserve">NOM-05A</t>
  </si>
  <si>
    <t xml:space="preserve">Hacienda — IVA Q1</t>
  </si>
  <si>
    <t xml:space="preserve">Imposto</t>
  </si>
  <si>
    <t xml:space="preserve">IVA 1º trimestre (modelo 303)</t>
  </si>
  <si>
    <t xml:space="preserve">M303-Q1</t>
  </si>
  <si>
    <t xml:space="preserve">2026-04-01</t>
  </si>
  <si>
    <t xml:space="preserve">2026-04-20</t>
  </si>
  <si>
    <t xml:space="preserve">2026-04-19</t>
  </si>
  <si>
    <t xml:space="preserve">2026-05-22</t>
  </si>
  <si>
    <t xml:space="preserve">Combustível Furgões</t>
  </si>
  <si>
    <t xml:space="preserve">Custo Variável</t>
  </si>
  <si>
    <t xml:space="preserve">Diesel maio</t>
  </si>
  <si>
    <t xml:space="preserve">CEPSA-05</t>
  </si>
  <si>
    <t xml:space="preserve">Seguro Responsabilidade Civil</t>
  </si>
  <si>
    <t xml:space="preserve">Mensalidade seguro</t>
  </si>
  <si>
    <t xml:space="preserve">SEG-05</t>
  </si>
  <si>
    <t xml:space="preserve">2026-06-05</t>
  </si>
  <si>
    <t xml:space="preserve">CONTAS A RECEBER</t>
  </si>
  <si>
    <t xml:space="preserve">Faturas emitidas para clientes, arquitetos, reformistas e empresas</t>
  </si>
  <si>
    <t xml:space="preserve">Total a Receber:</t>
  </si>
  <si>
    <t xml:space="preserve">Data Emissão</t>
  </si>
  <si>
    <t xml:space="preserve">Cliente</t>
  </si>
  <si>
    <t xml:space="preserve">Projeto</t>
  </si>
  <si>
    <t xml:space="preserve">Data Recebto</t>
  </si>
  <si>
    <t xml:space="preserve">Forma Pagto</t>
  </si>
  <si>
    <t xml:space="preserve">2026-04-15</t>
  </si>
  <si>
    <t xml:space="preserve">Maria García</t>
  </si>
  <si>
    <t xml:space="preserve">Cozinha + armários Serrano</t>
  </si>
  <si>
    <t xml:space="preserve">Cliente Final</t>
  </si>
  <si>
    <t xml:space="preserve">F2026-001</t>
  </si>
  <si>
    <t xml:space="preserve">Transferência</t>
  </si>
  <si>
    <t xml:space="preserve">Estudio ABC</t>
  </si>
  <si>
    <t xml:space="preserve">Obra Goya 12 — portas lacadas</t>
  </si>
  <si>
    <t xml:space="preserve">Arquiteto</t>
  </si>
  <si>
    <t xml:space="preserve">F2026-002</t>
  </si>
  <si>
    <t xml:space="preserve">2026-03-10</t>
  </si>
  <si>
    <t xml:space="preserve">Reformas López</t>
  </si>
  <si>
    <t xml:space="preserve">Pack 12 portas enrasadas</t>
  </si>
  <si>
    <t xml:space="preserve">Reformista</t>
  </si>
  <si>
    <t xml:space="preserve">F2026-003</t>
  </si>
  <si>
    <t xml:space="preserve">2026-04-10</t>
  </si>
  <si>
    <t xml:space="preserve">2026-04-08</t>
  </si>
  <si>
    <t xml:space="preserve">2026-04-25</t>
  </si>
  <si>
    <t xml:space="preserve">Construtora Núñez</t>
  </si>
  <si>
    <t xml:space="preserve">Armários edifício Chamberí (3 unid.)</t>
  </si>
  <si>
    <t xml:space="preserve">Construtora</t>
  </si>
  <si>
    <t xml:space="preserve">F2026-004</t>
  </si>
  <si>
    <t xml:space="preserve">2026-05-02</t>
  </si>
  <si>
    <t xml:space="preserve">Pedro Martínez</t>
  </si>
  <si>
    <t xml:space="preserve">Porta corredera + armário</t>
  </si>
  <si>
    <t xml:space="preserve">F2026-005</t>
  </si>
  <si>
    <t xml:space="preserve">2026-05-14</t>
  </si>
  <si>
    <t xml:space="preserve">CUSTOS FIXOS MENSAIS</t>
  </si>
  <si>
    <t xml:space="preserve">Tudo que sai todos os meses, independente do volume de vendas</t>
  </si>
  <si>
    <t xml:space="preserve">Categoria</t>
  </si>
  <si>
    <t xml:space="preserve">Valor Mensal (€)</t>
  </si>
  <si>
    <t xml:space="preserve">Dia Vencimento</t>
  </si>
  <si>
    <t xml:space="preserve">Observações</t>
  </si>
  <si>
    <t xml:space="preserve">Aluguel</t>
  </si>
  <si>
    <t xml:space="preserve">Nave industrial + escritório</t>
  </si>
  <si>
    <t xml:space="preserve">Imobiliária X</t>
  </si>
  <si>
    <t xml:space="preserve">Reajuste anual jan.</t>
  </si>
  <si>
    <t xml:space="preserve">Luz</t>
  </si>
  <si>
    <t xml:space="preserve">Iberdrola — fábrica</t>
  </si>
  <si>
    <t xml:space="preserve">Débito automático</t>
  </si>
  <si>
    <t xml:space="preserve">Aumenta no inverno</t>
  </si>
  <si>
    <t xml:space="preserve">Internet/Telefone</t>
  </si>
  <si>
    <t xml:space="preserve">Movistar fibra</t>
  </si>
  <si>
    <t xml:space="preserve">Movistar</t>
  </si>
  <si>
    <t xml:space="preserve">Gestoria</t>
  </si>
  <si>
    <t xml:space="preserve">Contabilidade e fiscal</t>
  </si>
  <si>
    <t xml:space="preserve">Gestoria X</t>
  </si>
  <si>
    <t xml:space="preserve">Seguros</t>
  </si>
  <si>
    <t xml:space="preserve">RC + multirriscos nave</t>
  </si>
  <si>
    <t xml:space="preserve">Mapfre</t>
  </si>
  <si>
    <t xml:space="preserve">Combustível</t>
  </si>
  <si>
    <t xml:space="preserve">Furgões de instalação</t>
  </si>
  <si>
    <t xml:space="preserve">CEPSA</t>
  </si>
  <si>
    <t xml:space="preserve">Cartão empresa</t>
  </si>
  <si>
    <t xml:space="preserve">Média mensal</t>
  </si>
  <si>
    <t xml:space="preserve">Software/Cloud</t>
  </si>
  <si>
    <t xml:space="preserve">Notion, Google, etc.</t>
  </si>
  <si>
    <t xml:space="preserve">Vários</t>
  </si>
  <si>
    <t xml:space="preserve">Cartão</t>
  </si>
  <si>
    <t xml:space="preserve">Manutenção CNC</t>
  </si>
  <si>
    <t xml:space="preserve">Lâminas, brocas, manutenção</t>
  </si>
  <si>
    <t xml:space="preserve">Média</t>
  </si>
  <si>
    <t xml:space="preserve">Limpeza</t>
  </si>
  <si>
    <t xml:space="preserve">Limpeza nave</t>
  </si>
  <si>
    <t xml:space="preserve">Servicios L.</t>
  </si>
  <si>
    <t xml:space="preserve">TOTAL MENSAL:</t>
  </si>
  <si>
    <t xml:space="preserve">TOTAL ANUAL:</t>
  </si>
  <si>
    <t xml:space="preserve">IMPOSTOS — Calendário Fiscal</t>
  </si>
  <si>
    <t xml:space="preserve">IVA trimestral, IRPF, IS, recolhimentos — Espanha</t>
  </si>
  <si>
    <t xml:space="preserve">Modelo</t>
  </si>
  <si>
    <t xml:space="preserve">Período</t>
  </si>
  <si>
    <t xml:space="preserve">IVA Trimestral</t>
  </si>
  <si>
    <t xml:space="preserve">303</t>
  </si>
  <si>
    <t xml:space="preserve">1º Trim 2026</t>
  </si>
  <si>
    <t xml:space="preserve">IRPF Retenções</t>
  </si>
  <si>
    <t xml:space="preserve">111</t>
  </si>
  <si>
    <t xml:space="preserve">Pagto Frac. IRPF</t>
  </si>
  <si>
    <t xml:space="preserve">130</t>
  </si>
  <si>
    <t xml:space="preserve">2º Trim 2026</t>
  </si>
  <si>
    <t xml:space="preserve">2026-07-20</t>
  </si>
  <si>
    <t xml:space="preserve">Resumo Anual IVA</t>
  </si>
  <si>
    <t xml:space="preserve">390</t>
  </si>
  <si>
    <t xml:space="preserve">2025</t>
  </si>
  <si>
    <t xml:space="preserve">2026-01-30</t>
  </si>
  <si>
    <t xml:space="preserve">2026-01-28</t>
  </si>
  <si>
    <t xml:space="preserve">Resumo Operações</t>
  </si>
  <si>
    <t xml:space="preserve">347</t>
  </si>
  <si>
    <t xml:space="preserve">2026-02-28</t>
  </si>
  <si>
    <t xml:space="preserve">2026-02-25</t>
  </si>
  <si>
    <t xml:space="preserve">FLUXO DE CAIXA — Visão 12 meses</t>
  </si>
  <si>
    <t xml:space="preserve">Entradas, saídas e saldo mensal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</si>
  <si>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</si>
  <si>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</si>
  <si>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</si>
  <si>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</si>
  <si>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</si>
  <si>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</si>
  <si>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</si>
  <si>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</si>
  <si>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</si>
  <si>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</si>
  <si>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</si>
  <si>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</si>
  <si>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</si>
  <si>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ENTRADAS</t>
  </si>
  <si>
    <t xml:space="preserve">  Vendas Cliente Final</t>
  </si>
  <si>
    <t xml:space="preserve">  Vendas Arquitetos</t>
  </si>
  <si>
    <t xml:space="preserve">  Vendas Reformistas</t>
  </si>
  <si>
    <t xml:space="preserve">  Vendas Construtoras</t>
  </si>
  <si>
    <t xml:space="preserve">  Outras Entradas</t>
  </si>
  <si>
    <t xml:space="preserve">TOTAL ENTRADAS</t>
  </si>
  <si>
    <t xml:space="preserve">SAÍDAS</t>
  </si>
  <si>
    <t xml:space="preserve">  Materiais</t>
  </si>
  <si>
    <t xml:space="preserve">  Lacas/Vernizes</t>
  </si>
  <si>
    <t xml:space="preserve">  Ferragens</t>
  </si>
  <si>
    <t xml:space="preserve">  Folha Pagamento</t>
  </si>
  <si>
    <t xml:space="preserve">  Aluguel</t>
  </si>
  <si>
    <t xml:space="preserve">  Luz/Água</t>
  </si>
  <si>
    <t xml:space="preserve">  Combustível</t>
  </si>
  <si>
    <t xml:space="preserve">  Gestoria/Seguros</t>
  </si>
  <si>
    <t xml:space="preserve">  Impostos</t>
  </si>
  <si>
    <t xml:space="preserve">  Outras Saídas</t>
  </si>
  <si>
    <t xml:space="preserve">TOTAL SAÍDAS</t>
  </si>
  <si>
    <t xml:space="preserve">SALDO MENSAL</t>
  </si>
  <si>
    <t xml:space="preserve">SALDO ACUMULADO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</si>
</sst>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0"/>
    <numFmt numFmtId="167" formatCode="yyyy\-mm\-dd"/>
    <numFmt numFmtId="168" formatCode="#,##0&quot; €&quot;;\(#,##0&quot; €)&quot;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color rgb="FF374151"/>
      <name val="Calibri"/>
      <family val="0"/>
      <charset val="1"/>
    </font>
    <font>
      <b val="true"/>
      <sz val="20"/>
      <color rgb="FF047857"/>
      <name val="Calibri"/>
      <family val="0"/>
      <charset val="1"/>
    </font>
    <font>
      <b val="true"/>
      <sz val="20"/>
      <color rgb="FFB91C1C"/>
      <name val="Calibri"/>
      <family val="0"/>
      <charset val="1"/>
    </font>
    <font>
      <b val="true"/>
      <sz val="20"/>
      <color rgb="FF1F2937"/>
      <name val="Calibri"/>
      <family val="0"/>
      <charset val="1"/>
    </font>
    <font>
      <b val="true"/>
      <sz val="14"/>
      <color rgb="FF1F2937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3"/>
      <color rgb="FF1F2937"/>
      <name val="Cambria"/>
      <family val="0"/>
      <charset val="1"/>
    </font>
    <font>
      <sz val="11"/>
      <color rgb="FF374151"/>
      <name val="Cambria"/>
      <family val="0"/>
      <charset val="1"/>
    </font>
    <font>
      <b val="true"/>
      <sz val="16"/>
      <color rgb="FF1F2937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B91C1C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047857"/>
      <name val="Cambria"/>
      <family val="0"/>
      <charset val="1"/>
    </font>
    <font>
      <b val="true"/>
      <sz val="12"/>
      <color rgb="FF6B7280"/>
      <name val="Cambria"/>
      <family val="0"/>
      <charset val="1"/>
    </font>
    <font>
      <b val="true"/>
      <sz val="11"/>
      <color rgb="FF1F2937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FFFFF"/>
      </patternFill>
    </fill>
    <fill>
      <patternFill patternType="solid">
        <fgColor rgb="FF1F2937"/>
        <bgColor rgb="FF333300"/>
      </patternFill>
    </fill>
    <fill>
      <patternFill patternType="solid">
        <fgColor rgb="FFF3F4F6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1FAE5"/>
        </patternFill>
      </fill>
    </dxf>
    <dxf>
      <font>
        <b val="1"/>
        <color rgb="FFB91C1C"/>
      </font>
      <fill>
        <patternFill>
          <bgColor rgb="FFFEE2E2"/>
        </patternFill>
      </fill>
    </dxf>
    <dxf>
      <font>
        <b val="1"/>
        <color rgb="FF047857"/>
      </font>
      <fill>
        <patternFill>
          <bgColor rgb="FFD1FA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1" width="22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</row>
    <row r="5" customFormat="false" ht="31.5" hidden="false" customHeight="true" outlineLevel="0" collapsed="false">
      <c r="A5" s="5" t="n">
        <f aca="false">SUMIFS(Contas_a_Receber!F5:F205,Contas_a_Receber!H5:H205,"Pendente")</f>
        <v>42400</v>
      </c>
      <c r="B5" s="5"/>
      <c r="C5" s="6" t="n">
        <f aca="false">SUMIFS(Contas_a_Pagar!F5:F205,Contas_a_Pagar!I5:I205,"Pendente")</f>
        <v>7955</v>
      </c>
      <c r="D5" s="6"/>
      <c r="E5" s="7" t="n">
        <f aca="false">B5-D5</f>
        <v>0</v>
      </c>
      <c r="F5" s="7"/>
    </row>
    <row r="8" customFormat="false" ht="21.75" hidden="false" customHeight="true" outlineLevel="0" collapsed="false">
      <c r="A8" s="4" t="s">
        <v>5</v>
      </c>
      <c r="B8" s="4"/>
      <c r="C8" s="4" t="s">
        <v>6</v>
      </c>
      <c r="D8" s="4"/>
      <c r="E8" s="4" t="s">
        <v>7</v>
      </c>
      <c r="F8" s="4"/>
    </row>
    <row r="9" customFormat="false" ht="31.5" hidden="false" customHeight="true" outlineLevel="0" collapsed="false">
      <c r="A9" s="6" t="n">
        <f aca="true">SUMPRODUCT((Contas_a_Receber!H5:H205="Pendente")*(Contas_a_Receber!G5:G205&lt;TODAY())*(Contas_a_Receber!G5:G205&lt;&gt;"")*Contas_a_Receber!F5:F205)</f>
        <v>0</v>
      </c>
      <c r="B9" s="6"/>
      <c r="C9" s="6" t="n">
        <f aca="true">SUMPRODUCT((Contas_a_Pagar!I5:I205="Pendente")*(Contas_a_Pagar!H5:H205&lt;TODAY())*(Contas_a_Pagar!H5:H205&lt;&gt;"")*Contas_a_Pagar!F5:F205)</f>
        <v>0</v>
      </c>
      <c r="D9" s="6"/>
      <c r="E9" s="7" t="n">
        <f aca="false">SUM(Custos_Fixos!D5:D50)</f>
        <v>59360</v>
      </c>
      <c r="F9" s="7"/>
    </row>
    <row r="12" customFormat="false" ht="21.75" hidden="false" customHeight="true" outlineLevel="0" collapsed="false">
      <c r="A12" s="4" t="s">
        <v>8</v>
      </c>
      <c r="B12" s="4"/>
      <c r="C12" s="4" t="s">
        <v>9</v>
      </c>
      <c r="D12" s="4"/>
      <c r="E12" s="4" t="s">
        <v>10</v>
      </c>
      <c r="F12" s="4"/>
    </row>
    <row r="13" customFormat="false" ht="31.5" hidden="false" customHeight="true" outlineLevel="0" collapsed="false">
      <c r="A13" s="6" t="n">
        <f aca="false">SUMIFS(Impostos!D5:D35,Impostos!F5:F35,"Pendente")</f>
        <v>0</v>
      </c>
      <c r="B13" s="6"/>
      <c r="C13" s="8" t="n">
        <f aca="false">COUNTIF(Contas_a_Receber!H5:H205,"Pendente")</f>
        <v>3</v>
      </c>
      <c r="D13" s="8"/>
      <c r="E13" s="8" t="n">
        <f aca="false">COUNTIF(Contas_a_Pagar!I5:I205,"Pendente")</f>
        <v>6</v>
      </c>
      <c r="F13" s="8"/>
    </row>
    <row r="16" customFormat="false" ht="25.5" hidden="false" customHeight="true" outlineLevel="0" collapsed="false">
      <c r="A16" s="9" t="s">
        <v>11</v>
      </c>
      <c r="B16" s="9"/>
      <c r="C16" s="9"/>
      <c r="D16" s="9"/>
      <c r="E16" s="9"/>
      <c r="F16" s="9"/>
    </row>
    <row r="17" customFormat="false" ht="15" hidden="false" customHeight="true" outlineLevel="0" collapsed="false">
      <c r="A17" s="10" t="s">
        <v>12</v>
      </c>
      <c r="B17" s="11" t="str">
        <f aca="false">IF(E5&gt;0,"🟢 SAUDÁVEL — Recebíveis cobrem pagamentos","🔴 ATENÇÃO — Pagamentos pendentes superam recebimentos")</f>
        <v>🔴 ATENÇÃO — Pagamentos pendentes superam recebimentos</v>
      </c>
      <c r="C17" s="11"/>
      <c r="D17" s="11"/>
      <c r="E17" s="11"/>
      <c r="F17" s="11"/>
    </row>
    <row r="18" customFormat="false" ht="15" hidden="false" customHeight="true" outlineLevel="0" collapsed="false">
      <c r="A18" s="10" t="s">
        <v>13</v>
      </c>
      <c r="B18" s="11" t="str">
        <f aca="false">IF(AND(B9=0,D9=0),"🟢 OK — Sem vencidos",IF(B9&gt;D9,"🟡 Há faturas vencidas a cobrar","🔴 URGENTE — Pagamentos vencidos"))</f>
        <v>🟢 OK — Sem vencidos</v>
      </c>
      <c r="C18" s="11"/>
      <c r="D18" s="11"/>
      <c r="E18" s="11"/>
      <c r="F18" s="11"/>
    </row>
    <row r="19" customFormat="false" ht="15" hidden="false" customHeight="true" outlineLevel="0" collapsed="false">
      <c r="A19" s="10" t="s">
        <v>14</v>
      </c>
      <c r="B19" s="11" t="str">
        <f aca="false">IF(A13=0,"🟢 Em dia","🟡 Há impostos pendentes — verificar calendário")</f>
        <v>🟢 Em dia</v>
      </c>
      <c r="C19" s="11"/>
      <c r="D19" s="11"/>
      <c r="E19" s="11"/>
      <c r="F19" s="11"/>
    </row>
    <row r="22" customFormat="false" ht="15.75" hidden="false" customHeight="true" outlineLevel="0" collapsed="false">
      <c r="A22" s="12" t="s">
        <v>15</v>
      </c>
      <c r="B22" s="12"/>
      <c r="C22" s="12"/>
      <c r="D22" s="12"/>
      <c r="E22" s="12"/>
      <c r="F22" s="12"/>
    </row>
    <row r="23" customFormat="false" ht="15" hidden="false" customHeight="true" outlineLevel="0" collapsed="false">
      <c r="A23" s="13" t="s">
        <v>16</v>
      </c>
      <c r="B23" s="13"/>
      <c r="C23" s="13"/>
      <c r="D23" s="13"/>
      <c r="E23" s="13"/>
      <c r="F23" s="13"/>
    </row>
    <row r="24" customFormat="false" ht="15" hidden="false" customHeight="true" outlineLevel="0" collapsed="false">
      <c r="A24" s="13" t="s">
        <v>17</v>
      </c>
      <c r="B24" s="13"/>
      <c r="C24" s="13"/>
      <c r="D24" s="13"/>
      <c r="E24" s="13"/>
      <c r="F24" s="13"/>
    </row>
    <row r="25" customFormat="false" ht="15" hidden="false" customHeight="true" outlineLevel="0" collapsed="false">
      <c r="A25" s="13" t="s">
        <v>18</v>
      </c>
      <c r="B25" s="13"/>
      <c r="C25" s="13"/>
      <c r="D25" s="13"/>
      <c r="E25" s="13"/>
      <c r="F25" s="13"/>
    </row>
    <row r="26" customFormat="false" ht="15" hidden="false" customHeight="true" outlineLevel="0" collapsed="false">
      <c r="A26" s="13" t="s">
        <v>19</v>
      </c>
      <c r="B26" s="13"/>
      <c r="C26" s="13"/>
      <c r="D26" s="13"/>
      <c r="E26" s="13"/>
      <c r="F26" s="13"/>
    </row>
    <row r="27" customFormat="false" ht="15" hidden="false" customHeight="true" outlineLevel="0" collapsed="false">
      <c r="A27" s="13" t="s">
        <v>20</v>
      </c>
      <c r="B27" s="13"/>
      <c r="C27" s="13"/>
      <c r="D27" s="13"/>
      <c r="E27" s="13"/>
      <c r="F27" s="13"/>
    </row>
    <row r="28" customFormat="false" ht="15" hidden="false" customHeight="true" outlineLevel="0" collapsed="false">
      <c r="A28" s="13" t="s">
        <v>21</v>
      </c>
      <c r="B28" s="13"/>
      <c r="C28" s="13"/>
      <c r="D28" s="13"/>
      <c r="E28" s="13"/>
      <c r="F28" s="13"/>
    </row>
  </sheetData>
  <mergeCells count="31">
    <mergeCell ref="A1:F1"/>
    <mergeCell ref="A2:F2"/>
    <mergeCell ref="A4:B4"/>
    <mergeCell ref="C4:D4"/>
    <mergeCell ref="E4:F4"/>
    <mergeCell ref="A5:B5"/>
    <mergeCell ref="C5:D5"/>
    <mergeCell ref="E5:F5"/>
    <mergeCell ref="A8:B8"/>
    <mergeCell ref="C8:D8"/>
    <mergeCell ref="E8:F8"/>
    <mergeCell ref="A9:B9"/>
    <mergeCell ref="C9:D9"/>
    <mergeCell ref="E9:F9"/>
    <mergeCell ref="A12:B12"/>
    <mergeCell ref="C12:D12"/>
    <mergeCell ref="E12:F12"/>
    <mergeCell ref="A13:B13"/>
    <mergeCell ref="C13:D13"/>
    <mergeCell ref="E13:F13"/>
    <mergeCell ref="A16:F16"/>
    <mergeCell ref="B17:F17"/>
    <mergeCell ref="B18:F18"/>
    <mergeCell ref="B19:F19"/>
    <mergeCell ref="A22:F22"/>
    <mergeCell ref="A23:F23"/>
    <mergeCell ref="A24:F24"/>
    <mergeCell ref="A25:F25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6" min="5" style="1" width="14"/>
    <col collapsed="false" customWidth="true" hidden="false" outlineLevel="0" max="8" min="7" style="1" width="12"/>
    <col collapsed="false" customWidth="true" hidden="false" outlineLevel="0" max="9" min="9" style="1" width="14"/>
    <col collapsed="false" customWidth="true" hidden="false" outlineLevel="0" max="11" min="10" style="1" width="12"/>
    <col collapsed="false" customWidth="true" hidden="false" outlineLevel="0" max="12" min="12" style="1" width="14"/>
  </cols>
  <sheetData>
    <row r="1" customFormat="false" ht="27.75" hidden="false" customHeight="true" outlineLevel="0" collapsed="false">
      <c r="A1" s="14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5" hidden="false" customHeight="true" outlineLevel="0" collapsed="false">
      <c r="A2" s="15" t="s">
        <v>23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customFormat="false" ht="15" hidden="false" customHeight="true" outlineLevel="0" collapsed="false">
      <c r="E3" s="16" t="s">
        <v>24</v>
      </c>
      <c r="F3" s="17" t="n">
        <f aca="false">SUMIFS(F5:F205,I5:I205,"Pendente")</f>
        <v>7955</v>
      </c>
    </row>
    <row r="4" customFormat="false" ht="24" hidden="false" customHeight="true" outlineLevel="0" collapsed="false">
      <c r="A4" s="18" t="s">
        <v>25</v>
      </c>
      <c r="B4" s="18" t="s">
        <v>26</v>
      </c>
      <c r="C4" s="18" t="s">
        <v>27</v>
      </c>
      <c r="D4" s="18" t="s">
        <v>28</v>
      </c>
      <c r="E4" s="18" t="s">
        <v>29</v>
      </c>
      <c r="F4" s="18" t="s">
        <v>30</v>
      </c>
      <c r="G4" s="18" t="s">
        <v>31</v>
      </c>
      <c r="H4" s="18" t="s">
        <v>32</v>
      </c>
      <c r="I4" s="18" t="s">
        <v>33</v>
      </c>
      <c r="J4" s="18" t="s">
        <v>34</v>
      </c>
      <c r="K4" s="18" t="s">
        <v>35</v>
      </c>
      <c r="L4" s="18" t="s">
        <v>36</v>
      </c>
    </row>
    <row r="5" customFormat="false" ht="23.25" hidden="false" customHeight="true" outlineLevel="0" collapsed="false">
      <c r="A5" s="19" t="s">
        <v>37</v>
      </c>
      <c r="B5" s="20" t="s">
        <v>38</v>
      </c>
      <c r="C5" s="20" t="s">
        <v>39</v>
      </c>
      <c r="D5" s="20" t="s">
        <v>40</v>
      </c>
      <c r="E5" s="20" t="s">
        <v>41</v>
      </c>
      <c r="F5" s="21" t="n">
        <v>1450</v>
      </c>
      <c r="G5" s="22" t="s">
        <v>37</v>
      </c>
      <c r="H5" s="22" t="s">
        <v>42</v>
      </c>
      <c r="I5" s="23" t="s">
        <v>43</v>
      </c>
      <c r="J5" s="22"/>
      <c r="K5" s="24" t="str">
        <f aca="true">IF(I5="Pago","✓ OK",IF(H5="","",IF(H5&lt;TODAY(),"🔴 VENCIDA",IF(H5-TODAY()&lt;=7,"🟡 ATENÇÃO","🟢 OK"))))</f>
        <v>🟢 OK</v>
      </c>
      <c r="L5" s="25" t="n">
        <f aca="true">IF(H5="","",H5-TODAY())</f>
        <v>16</v>
      </c>
    </row>
    <row r="6" customFormat="false" ht="15" hidden="false" customHeight="true" outlineLevel="0" collapsed="false">
      <c r="A6" s="19" t="s">
        <v>44</v>
      </c>
      <c r="B6" s="20" t="s">
        <v>45</v>
      </c>
      <c r="C6" s="20" t="s">
        <v>39</v>
      </c>
      <c r="D6" s="20" t="s">
        <v>46</v>
      </c>
      <c r="E6" s="20" t="s">
        <v>47</v>
      </c>
      <c r="F6" s="21" t="n">
        <v>945</v>
      </c>
      <c r="G6" s="22" t="s">
        <v>44</v>
      </c>
      <c r="H6" s="22" t="s">
        <v>44</v>
      </c>
      <c r="I6" s="23" t="s">
        <v>48</v>
      </c>
      <c r="J6" s="22" t="s">
        <v>44</v>
      </c>
      <c r="K6" s="24" t="str">
        <f aca="true">IF(I6="Pago","✓ OK",IF(H6="","",IF(H6&lt;TODAY(),"🔴 VENCIDA",IF(H6-TODAY()&lt;=7,"🟡 ATENÇÃO","🟢 OK"))))</f>
        <v>✓ OK</v>
      </c>
      <c r="L6" s="25" t="n">
        <f aca="true">IF(H6="","",H6-TODAY())</f>
        <v>-12</v>
      </c>
    </row>
    <row r="7" customFormat="false" ht="15" hidden="false" customHeight="true" outlineLevel="0" collapsed="false">
      <c r="A7" s="19" t="s">
        <v>49</v>
      </c>
      <c r="B7" s="20" t="s">
        <v>50</v>
      </c>
      <c r="C7" s="20" t="s">
        <v>51</v>
      </c>
      <c r="D7" s="20" t="s">
        <v>52</v>
      </c>
      <c r="E7" s="20" t="s">
        <v>53</v>
      </c>
      <c r="F7" s="21" t="n">
        <v>2200</v>
      </c>
      <c r="G7" s="22" t="s">
        <v>37</v>
      </c>
      <c r="H7" s="22" t="s">
        <v>49</v>
      </c>
      <c r="I7" s="23" t="s">
        <v>48</v>
      </c>
      <c r="J7" s="22" t="s">
        <v>49</v>
      </c>
      <c r="K7" s="24" t="str">
        <f aca="true">IF(I7="Pago","✓ OK",IF(H7="","",IF(H7&lt;TODAY(),"🔴 VENCIDA",IF(H7-TODAY()&lt;=7,"🟡 ATENÇÃO","🟢 OK"))))</f>
        <v>✓ OK</v>
      </c>
      <c r="L7" s="25" t="n">
        <f aca="true">IF(H7="","",H7-TODAY())</f>
        <v>-10</v>
      </c>
    </row>
    <row r="8" customFormat="false" ht="15" hidden="false" customHeight="true" outlineLevel="0" collapsed="false">
      <c r="A8" s="19" t="s">
        <v>54</v>
      </c>
      <c r="B8" s="20" t="s">
        <v>55</v>
      </c>
      <c r="C8" s="20" t="s">
        <v>51</v>
      </c>
      <c r="D8" s="20" t="s">
        <v>56</v>
      </c>
      <c r="E8" s="20" t="s">
        <v>57</v>
      </c>
      <c r="F8" s="21" t="n">
        <v>480</v>
      </c>
      <c r="G8" s="22" t="s">
        <v>54</v>
      </c>
      <c r="H8" s="22" t="s">
        <v>58</v>
      </c>
      <c r="I8" s="23" t="s">
        <v>43</v>
      </c>
      <c r="J8" s="22"/>
      <c r="K8" s="24" t="str">
        <f aca="true">IF(I8="Pago","✓ OK",IF(H8="","",IF(H8&lt;TODAY(),"🔴 VENCIDA",IF(H8-TODAY()&lt;=7,"🟡 ATENÇÃO","🟢 OK"))))</f>
        <v>🟡 ATENÇÃO</v>
      </c>
      <c r="L8" s="25" t="n">
        <f aca="true">IF(H8="","",H8-TODAY())</f>
        <v>5</v>
      </c>
    </row>
    <row r="9" customFormat="false" ht="15" hidden="false" customHeight="true" outlineLevel="0" collapsed="false">
      <c r="A9" s="19" t="s">
        <v>59</v>
      </c>
      <c r="B9" s="20" t="s">
        <v>60</v>
      </c>
      <c r="C9" s="20" t="s">
        <v>51</v>
      </c>
      <c r="D9" s="20" t="s">
        <v>61</v>
      </c>
      <c r="E9" s="20" t="s">
        <v>62</v>
      </c>
      <c r="F9" s="21" t="n">
        <v>95</v>
      </c>
      <c r="G9" s="22" t="s">
        <v>59</v>
      </c>
      <c r="H9" s="22" t="s">
        <v>63</v>
      </c>
      <c r="I9" s="23" t="s">
        <v>43</v>
      </c>
      <c r="J9" s="22"/>
      <c r="K9" s="24" t="str">
        <f aca="true">IF(I9="Pago","✓ OK",IF(H9="","",IF(H9&lt;TODAY(),"🔴 VENCIDA",IF(H9-TODAY()&lt;=7,"🟡 ATENÇÃO","🟢 OK"))))</f>
        <v>🟢 OK</v>
      </c>
      <c r="L9" s="25" t="n">
        <f aca="true">IF(H9="","",H9-TODAY())</f>
        <v>10</v>
      </c>
    </row>
    <row r="10" customFormat="false" ht="15" hidden="false" customHeight="true" outlineLevel="0" collapsed="false">
      <c r="A10" s="19" t="s">
        <v>64</v>
      </c>
      <c r="B10" s="20" t="s">
        <v>65</v>
      </c>
      <c r="C10" s="20" t="s">
        <v>51</v>
      </c>
      <c r="D10" s="20" t="s">
        <v>66</v>
      </c>
      <c r="E10" s="20" t="s">
        <v>67</v>
      </c>
      <c r="F10" s="21" t="n">
        <v>350</v>
      </c>
      <c r="G10" s="22" t="s">
        <v>64</v>
      </c>
      <c r="H10" s="22" t="s">
        <v>68</v>
      </c>
      <c r="I10" s="23" t="s">
        <v>43</v>
      </c>
      <c r="J10" s="22"/>
      <c r="K10" s="24" t="str">
        <f aca="true">IF(I10="Pago","✓ OK",IF(H10="","",IF(H10&lt;TODAY(),"🔴 VENCIDA",IF(H10-TODAY()&lt;=7,"🟡 ATENÇÃO","🟢 OK"))))</f>
        <v>🟢 OK</v>
      </c>
      <c r="L10" s="25" t="n">
        <f aca="true">IF(H10="","",H10-TODAY())</f>
        <v>15</v>
      </c>
    </row>
    <row r="11" customFormat="false" ht="15" hidden="false" customHeight="true" outlineLevel="0" collapsed="false">
      <c r="A11" s="19" t="s">
        <v>64</v>
      </c>
      <c r="B11" s="20" t="s">
        <v>69</v>
      </c>
      <c r="C11" s="20" t="s">
        <v>70</v>
      </c>
      <c r="D11" s="20" t="s">
        <v>71</v>
      </c>
      <c r="E11" s="20" t="s">
        <v>72</v>
      </c>
      <c r="F11" s="21" t="n">
        <v>5400</v>
      </c>
      <c r="G11" s="22" t="s">
        <v>64</v>
      </c>
      <c r="H11" s="22" t="s">
        <v>68</v>
      </c>
      <c r="I11" s="23" t="s">
        <v>43</v>
      </c>
      <c r="J11" s="22"/>
      <c r="K11" s="24" t="str">
        <f aca="true">IF(I11="Pago","✓ OK",IF(H11="","",IF(H11&lt;TODAY(),"🔴 VENCIDA",IF(H11-TODAY()&lt;=7,"🟡 ATENÇÃO","🟢 OK"))))</f>
        <v>🟢 OK</v>
      </c>
      <c r="L11" s="25" t="n">
        <f aca="true">IF(H11="","",H11-TODAY())</f>
        <v>15</v>
      </c>
    </row>
    <row r="12" customFormat="false" ht="15" hidden="false" customHeight="true" outlineLevel="0" collapsed="false">
      <c r="A12" s="19" t="s">
        <v>58</v>
      </c>
      <c r="B12" s="20" t="s">
        <v>73</v>
      </c>
      <c r="C12" s="20" t="s">
        <v>74</v>
      </c>
      <c r="D12" s="20" t="s">
        <v>75</v>
      </c>
      <c r="E12" s="20" t="s">
        <v>76</v>
      </c>
      <c r="F12" s="21" t="n">
        <v>3850</v>
      </c>
      <c r="G12" s="22" t="s">
        <v>77</v>
      </c>
      <c r="H12" s="22" t="s">
        <v>78</v>
      </c>
      <c r="I12" s="23" t="s">
        <v>48</v>
      </c>
      <c r="J12" s="22" t="s">
        <v>79</v>
      </c>
      <c r="K12" s="24" t="str">
        <f aca="true">IF(I12="Pago","✓ OK",IF(H12="","",IF(H12&lt;TODAY(),"🔴 VENCIDA",IF(H12-TODAY()&lt;=7,"🟡 ATENÇÃO","🟢 OK"))))</f>
        <v>✓ OK</v>
      </c>
      <c r="L12" s="25" t="n">
        <f aca="true">IF(H12="","",H12-TODAY())</f>
        <v>-25</v>
      </c>
    </row>
    <row r="13" customFormat="false" ht="15" hidden="false" customHeight="true" outlineLevel="0" collapsed="false">
      <c r="A13" s="19" t="s">
        <v>80</v>
      </c>
      <c r="B13" s="20" t="s">
        <v>81</v>
      </c>
      <c r="C13" s="20" t="s">
        <v>82</v>
      </c>
      <c r="D13" s="20" t="s">
        <v>83</v>
      </c>
      <c r="E13" s="20" t="s">
        <v>84</v>
      </c>
      <c r="F13" s="21" t="n">
        <v>280</v>
      </c>
      <c r="G13" s="22" t="s">
        <v>80</v>
      </c>
      <c r="H13" s="22" t="s">
        <v>80</v>
      </c>
      <c r="I13" s="23" t="s">
        <v>48</v>
      </c>
      <c r="J13" s="22" t="s">
        <v>80</v>
      </c>
      <c r="K13" s="24" t="str">
        <f aca="true">IF(I13="Pago","✓ OK",IF(H13="","",IF(H13&lt;TODAY(),"🔴 VENCIDA",IF(H13-TODAY()&lt;=7,"🟡 ATENÇÃO","🟢 OK"))))</f>
        <v>✓ OK</v>
      </c>
      <c r="L13" s="25" t="n">
        <f aca="true">IF(H13="","",H13-TODAY())</f>
        <v>7</v>
      </c>
    </row>
    <row r="14" customFormat="false" ht="15" hidden="false" customHeight="true" outlineLevel="0" collapsed="false">
      <c r="A14" s="19" t="s">
        <v>63</v>
      </c>
      <c r="B14" s="20" t="s">
        <v>85</v>
      </c>
      <c r="C14" s="20" t="s">
        <v>51</v>
      </c>
      <c r="D14" s="20" t="s">
        <v>86</v>
      </c>
      <c r="E14" s="20" t="s">
        <v>87</v>
      </c>
      <c r="F14" s="21" t="n">
        <v>180</v>
      </c>
      <c r="G14" s="22" t="s">
        <v>63</v>
      </c>
      <c r="H14" s="22" t="s">
        <v>88</v>
      </c>
      <c r="I14" s="23" t="s">
        <v>43</v>
      </c>
      <c r="J14" s="22"/>
      <c r="K14" s="24" t="str">
        <f aca="true">IF(I14="Pago","✓ OK",IF(H14="","",IF(H14&lt;TODAY(),"🔴 VENCIDA",IF(H14-TODAY()&lt;=7,"🟡 ATENÇÃO","🟢 OK"))))</f>
        <v>🟢 OK</v>
      </c>
      <c r="L14" s="25" t="n">
        <f aca="true">IF(H14="","",H14-TODAY())</f>
        <v>21</v>
      </c>
    </row>
    <row r="15" customFormat="false" ht="15" hidden="false" customHeight="true" outlineLevel="0" collapsed="false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4" t="str">
        <f aca="true">IF(I15="Pago","✓ OK",IF(H15="","",IF(H15&lt;TODAY(),"🔴 VENCIDA",IF(H15-TODAY()&lt;=7,"🟡 ATENÇÃO","🟢 OK"))))</f>
        <v/>
      </c>
      <c r="L15" s="25" t="str">
        <f aca="true">IF(H15="","",H15-TODAY())</f>
        <v/>
      </c>
    </row>
    <row r="16" customFormat="false" ht="15" hidden="false" customHeight="true" outlineLevel="0" collapsed="false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4" t="str">
        <f aca="true">IF(I16="Pago","✓ OK",IF(H16="","",IF(H16&lt;TODAY(),"🔴 VENCIDA",IF(H16-TODAY()&lt;=7,"🟡 ATENÇÃO","🟢 OK"))))</f>
        <v/>
      </c>
      <c r="L16" s="25" t="str">
        <f aca="true">IF(H16="","",H16-TODAY())</f>
        <v/>
      </c>
    </row>
    <row r="17" customFormat="false" ht="15" hidden="false" customHeight="true" outlineLevel="0" collapsed="false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4" t="str">
        <f aca="true">IF(I17="Pago","✓ OK",IF(H17="","",IF(H17&lt;TODAY(),"🔴 VENCIDA",IF(H17-TODAY()&lt;=7,"🟡 ATENÇÃO","🟢 OK"))))</f>
        <v/>
      </c>
      <c r="L17" s="25" t="str">
        <f aca="true">IF(H17="","",H17-TODAY())</f>
        <v/>
      </c>
    </row>
    <row r="18" customFormat="false" ht="15" hidden="false" customHeight="true" outlineLevel="0" collapsed="false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4" t="str">
        <f aca="true">IF(I18="Pago","✓ OK",IF(H18="","",IF(H18&lt;TODAY(),"🔴 VENCIDA",IF(H18-TODAY()&lt;=7,"🟡 ATENÇÃO","🟢 OK"))))</f>
        <v/>
      </c>
      <c r="L18" s="25" t="str">
        <f aca="true">IF(H18="","",H18-TODAY())</f>
        <v/>
      </c>
    </row>
    <row r="19" customFormat="false" ht="15" hidden="false" customHeight="true" outlineLevel="0" collapsed="false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4" t="str">
        <f aca="true">IF(I19="Pago","✓ OK",IF(H19="","",IF(H19&lt;TODAY(),"🔴 VENCIDA",IF(H19-TODAY()&lt;=7,"🟡 ATENÇÃO","🟢 OK"))))</f>
        <v/>
      </c>
      <c r="L19" s="25" t="str">
        <f aca="true">IF(H19="","",H19-TODAY())</f>
        <v/>
      </c>
    </row>
    <row r="20" customFormat="false" ht="15" hidden="false" customHeight="true" outlineLevel="0" collapsed="false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4" t="str">
        <f aca="true">IF(I20="Pago","✓ OK",IF(H20="","",IF(H20&lt;TODAY(),"🔴 VENCIDA",IF(H20-TODAY()&lt;=7,"🟡 ATENÇÃO","🟢 OK"))))</f>
        <v/>
      </c>
      <c r="L20" s="25" t="str">
        <f aca="true">IF(H20="","",H20-TODAY())</f>
        <v/>
      </c>
    </row>
    <row r="21" customFormat="false" ht="15" hidden="false" customHeight="true" outlineLevel="0" collapsed="false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4" t="str">
        <f aca="true">IF(I21="Pago","✓ OK",IF(H21="","",IF(H21&lt;TODAY(),"🔴 VENCIDA",IF(H21-TODAY()&lt;=7,"🟡 ATENÇÃO","🟢 OK"))))</f>
        <v/>
      </c>
      <c r="L21" s="25" t="str">
        <f aca="true">IF(H21="","",H21-TODAY())</f>
        <v/>
      </c>
    </row>
    <row r="22" customFormat="false" ht="15" hidden="false" customHeight="true" outlineLevel="0" collapsed="false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4" t="str">
        <f aca="true">IF(I22="Pago","✓ OK",IF(H22="","",IF(H22&lt;TODAY(),"🔴 VENCIDA",IF(H22-TODAY()&lt;=7,"🟡 ATENÇÃO","🟢 OK"))))</f>
        <v/>
      </c>
      <c r="L22" s="25" t="str">
        <f aca="true">IF(H22="","",H22-TODAY())</f>
        <v/>
      </c>
    </row>
    <row r="23" customFormat="false" ht="15" hidden="false" customHeight="true" outlineLevel="0" collapsed="false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4" t="str">
        <f aca="true">IF(I23="Pago","✓ OK",IF(H23="","",IF(H23&lt;TODAY(),"🔴 VENCIDA",IF(H23-TODAY()&lt;=7,"🟡 ATENÇÃO","🟢 OK"))))</f>
        <v/>
      </c>
      <c r="L23" s="25" t="str">
        <f aca="true">IF(H23="","",H23-TODAY())</f>
        <v/>
      </c>
    </row>
    <row r="24" customFormat="false" ht="15" hidden="false" customHeight="true" outlineLevel="0" collapsed="false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4" t="str">
        <f aca="true">IF(I24="Pago","✓ OK",IF(H24="","",IF(H24&lt;TODAY(),"🔴 VENCIDA",IF(H24-TODAY()&lt;=7,"🟡 ATENÇÃO","🟢 OK"))))</f>
        <v/>
      </c>
      <c r="L24" s="25" t="str">
        <f aca="true">IF(H24="","",H24-TODAY())</f>
        <v/>
      </c>
    </row>
    <row r="25" customFormat="false" ht="15" hidden="false" customHeight="true" outlineLevel="0" collapsed="false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4" t="str">
        <f aca="true">IF(I25="Pago","✓ OK",IF(H25="","",IF(H25&lt;TODAY(),"🔴 VENCIDA",IF(H25-TODAY()&lt;=7,"🟡 ATENÇÃO","🟢 OK"))))</f>
        <v/>
      </c>
      <c r="L25" s="25" t="str">
        <f aca="true">IF(H25="","",H25-TODAY())</f>
        <v/>
      </c>
    </row>
    <row r="26" customFormat="false" ht="15" hidden="false" customHeight="true" outlineLevel="0" collapsed="false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4" t="str">
        <f aca="true">IF(I26="Pago","✓ OK",IF(H26="","",IF(H26&lt;TODAY(),"🔴 VENCIDA",IF(H26-TODAY()&lt;=7,"🟡 ATENÇÃO","🟢 OK"))))</f>
        <v/>
      </c>
      <c r="L26" s="25" t="str">
        <f aca="true">IF(H26="","",H26-TODAY())</f>
        <v/>
      </c>
    </row>
    <row r="27" customFormat="false" ht="15" hidden="false" customHeight="true" outlineLevel="0" collapsed="false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4" t="str">
        <f aca="true">IF(I27="Pago","✓ OK",IF(H27="","",IF(H27&lt;TODAY(),"🔴 VENCIDA",IF(H27-TODAY()&lt;=7,"🟡 ATENÇÃO","🟢 OK"))))</f>
        <v/>
      </c>
      <c r="L27" s="25" t="str">
        <f aca="true">IF(H27="","",H27-TODAY())</f>
        <v/>
      </c>
    </row>
    <row r="28" customFormat="false" ht="15" hidden="false" customHeight="true" outlineLevel="0" collapsed="false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4" t="str">
        <f aca="true">IF(I28="Pago","✓ OK",IF(H28="","",IF(H28&lt;TODAY(),"🔴 VENCIDA",IF(H28-TODAY()&lt;=7,"🟡 ATENÇÃO","🟢 OK"))))</f>
        <v/>
      </c>
      <c r="L28" s="25" t="str">
        <f aca="true">IF(H28="","",H28-TODAY())</f>
        <v/>
      </c>
    </row>
    <row r="29" customFormat="false" ht="15" hidden="false" customHeight="true" outlineLevel="0" collapsed="false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4" t="str">
        <f aca="true">IF(I29="Pago","✓ OK",IF(H29="","",IF(H29&lt;TODAY(),"🔴 VENCIDA",IF(H29-TODAY()&lt;=7,"🟡 ATENÇÃO","🟢 OK"))))</f>
        <v/>
      </c>
      <c r="L29" s="25" t="str">
        <f aca="true">IF(H29="","",H29-TODAY())</f>
        <v/>
      </c>
    </row>
    <row r="30" customFormat="false" ht="15" hidden="false" customHeight="true" outlineLevel="0" collapsed="false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4" t="str">
        <f aca="true">IF(I30="Pago","✓ OK",IF(H30="","",IF(H30&lt;TODAY(),"🔴 VENCIDA",IF(H30-TODAY()&lt;=7,"🟡 ATENÇÃO","🟢 OK"))))</f>
        <v/>
      </c>
      <c r="L30" s="25" t="str">
        <f aca="true">IF(H30="","",H30-TODAY())</f>
        <v/>
      </c>
    </row>
    <row r="31" customFormat="false" ht="15" hidden="false" customHeight="true" outlineLevel="0" collapsed="false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4" t="str">
        <f aca="true">IF(I31="Pago","✓ OK",IF(H31="","",IF(H31&lt;TODAY(),"🔴 VENCIDA",IF(H31-TODAY()&lt;=7,"🟡 ATENÇÃO","🟢 OK"))))</f>
        <v/>
      </c>
      <c r="L31" s="25" t="str">
        <f aca="true">IF(H31="","",H31-TODAY())</f>
        <v/>
      </c>
    </row>
    <row r="32" customFormat="false" ht="15" hidden="false" customHeight="true" outlineLevel="0" collapsed="false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4" t="str">
        <f aca="true">IF(I32="Pago","✓ OK",IF(H32="","",IF(H32&lt;TODAY(),"🔴 VENCIDA",IF(H32-TODAY()&lt;=7,"🟡 ATENÇÃO","🟢 OK"))))</f>
        <v/>
      </c>
      <c r="L32" s="25" t="str">
        <f aca="true">IF(H32="","",H32-TODAY())</f>
        <v/>
      </c>
    </row>
    <row r="33" customFormat="false" ht="15" hidden="false" customHeight="true" outlineLevel="0" collapsed="false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4" t="str">
        <f aca="true">IF(I33="Pago","✓ OK",IF(H33="","",IF(H33&lt;TODAY(),"🔴 VENCIDA",IF(H33-TODAY()&lt;=7,"🟡 ATENÇÃO","🟢 OK"))))</f>
        <v/>
      </c>
      <c r="L33" s="25" t="str">
        <f aca="true">IF(H33="","",H33-TODAY())</f>
        <v/>
      </c>
    </row>
    <row r="34" customFormat="false" ht="15" hidden="false" customHeight="true" outlineLevel="0" collapsed="false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4" t="str">
        <f aca="true">IF(I34="Pago","✓ OK",IF(H34="","",IF(H34&lt;TODAY(),"🔴 VENCIDA",IF(H34-TODAY()&lt;=7,"🟡 ATENÇÃO","🟢 OK"))))</f>
        <v/>
      </c>
      <c r="L34" s="25" t="str">
        <f aca="true">IF(H34="","",H34-TODAY())</f>
        <v/>
      </c>
    </row>
    <row r="35" customFormat="false" ht="15" hidden="false" customHeight="true" outlineLevel="0" collapsed="false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4" t="str">
        <f aca="true">IF(I35="Pago","✓ OK",IF(H35="","",IF(H35&lt;TODAY(),"🔴 VENCIDA",IF(H35-TODAY()&lt;=7,"🟡 ATENÇÃO","🟢 OK"))))</f>
        <v/>
      </c>
      <c r="L35" s="25" t="str">
        <f aca="true">IF(H35="","",H35-TODAY())</f>
        <v/>
      </c>
    </row>
    <row r="36" customFormat="false" ht="15" hidden="false" customHeight="tru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4" t="str">
        <f aca="true">IF(I36="Pago","✓ OK",IF(H36="","",IF(H36&lt;TODAY(),"🔴 VENCIDA",IF(H36-TODAY()&lt;=7,"🟡 ATENÇÃO","🟢 OK"))))</f>
        <v/>
      </c>
      <c r="L36" s="25" t="str">
        <f aca="true">IF(H36="","",H36-TODAY())</f>
        <v/>
      </c>
    </row>
    <row r="37" customFormat="false" ht="15" hidden="false" customHeight="true" outlineLevel="0" collapsed="false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4" t="str">
        <f aca="true">IF(I37="Pago","✓ OK",IF(H37="","",IF(H37&lt;TODAY(),"🔴 VENCIDA",IF(H37-TODAY()&lt;=7,"🟡 ATENÇÃO","🟢 OK"))))</f>
        <v/>
      </c>
      <c r="L37" s="25" t="str">
        <f aca="true">IF(H37="","",H37-TODAY())</f>
        <v/>
      </c>
    </row>
    <row r="38" customFormat="false" ht="15" hidden="false" customHeight="true" outlineLevel="0" collapsed="false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4" t="str">
        <f aca="true">IF(I38="Pago","✓ OK",IF(H38="","",IF(H38&lt;TODAY(),"🔴 VENCIDA",IF(H38-TODAY()&lt;=7,"🟡 ATENÇÃO","🟢 OK"))))</f>
        <v/>
      </c>
      <c r="L38" s="25" t="str">
        <f aca="true">IF(H38="","",H38-TODAY())</f>
        <v/>
      </c>
    </row>
    <row r="39" customFormat="false" ht="15" hidden="false" customHeight="true" outlineLevel="0" collapsed="false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4" t="str">
        <f aca="true">IF(I39="Pago","✓ OK",IF(H39="","",IF(H39&lt;TODAY(),"🔴 VENCIDA",IF(H39-TODAY()&lt;=7,"🟡 ATENÇÃO","🟢 OK"))))</f>
        <v/>
      </c>
      <c r="L39" s="25" t="str">
        <f aca="true">IF(H39="","",H39-TODAY())</f>
        <v/>
      </c>
    </row>
    <row r="40" customFormat="false" ht="15" hidden="false" customHeight="true" outlineLevel="0" collapsed="false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4" t="str">
        <f aca="true">IF(I40="Pago","✓ OK",IF(H40="","",IF(H40&lt;TODAY(),"🔴 VENCIDA",IF(H40-TODAY()&lt;=7,"🟡 ATENÇÃO","🟢 OK"))))</f>
        <v/>
      </c>
      <c r="L40" s="25" t="str">
        <f aca="true">IF(H40="","",H40-TODAY())</f>
        <v/>
      </c>
    </row>
    <row r="41" customFormat="false" ht="15" hidden="false" customHeight="true" outlineLevel="0" collapsed="false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4" t="str">
        <f aca="true">IF(I41="Pago","✓ OK",IF(H41="","",IF(H41&lt;TODAY(),"🔴 VENCIDA",IF(H41-TODAY()&lt;=7,"🟡 ATENÇÃO","🟢 OK"))))</f>
        <v/>
      </c>
      <c r="L41" s="25" t="str">
        <f aca="true">IF(H41="","",H41-TODAY())</f>
        <v/>
      </c>
    </row>
    <row r="42" customFormat="false" ht="15" hidden="false" customHeight="true" outlineLevel="0" collapsed="false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4" t="str">
        <f aca="true">IF(I42="Pago","✓ OK",IF(H42="","",IF(H42&lt;TODAY(),"🔴 VENCIDA",IF(H42-TODAY()&lt;=7,"🟡 ATENÇÃO","🟢 OK"))))</f>
        <v/>
      </c>
      <c r="L42" s="25" t="str">
        <f aca="true">IF(H42="","",H42-TODAY())</f>
        <v/>
      </c>
    </row>
    <row r="43" customFormat="false" ht="15" hidden="false" customHeight="tru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4" t="str">
        <f aca="true">IF(I43="Pago","✓ OK",IF(H43="","",IF(H43&lt;TODAY(),"🔴 VENCIDA",IF(H43-TODAY()&lt;=7,"🟡 ATENÇÃO","🟢 OK"))))</f>
        <v/>
      </c>
      <c r="L43" s="25" t="str">
        <f aca="true">IF(H43="","",H43-TODAY())</f>
        <v/>
      </c>
    </row>
    <row r="44" customFormat="false" ht="15" hidden="false" customHeight="true" outlineLevel="0" collapsed="false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4" t="str">
        <f aca="true">IF(I44="Pago","✓ OK",IF(H44="","",IF(H44&lt;TODAY(),"🔴 VENCIDA",IF(H44-TODAY()&lt;=7,"🟡 ATENÇÃO","🟢 OK"))))</f>
        <v/>
      </c>
      <c r="L44" s="25" t="str">
        <f aca="true">IF(H44="","",H44-TODAY())</f>
        <v/>
      </c>
    </row>
    <row r="45" customFormat="false" ht="15" hidden="false" customHeight="true" outlineLevel="0" collapsed="false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4" t="str">
        <f aca="true">IF(I45="Pago","✓ OK",IF(H45="","",IF(H45&lt;TODAY(),"🔴 VENCIDA",IF(H45-TODAY()&lt;=7,"🟡 ATENÇÃO","🟢 OK"))))</f>
        <v/>
      </c>
      <c r="L45" s="25" t="str">
        <f aca="true">IF(H45="","",H45-TODAY())</f>
        <v/>
      </c>
    </row>
    <row r="46" customFormat="false" ht="15" hidden="false" customHeight="true" outlineLevel="0" collapsed="false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4" t="str">
        <f aca="true">IF(I46="Pago","✓ OK",IF(H46="","",IF(H46&lt;TODAY(),"🔴 VENCIDA",IF(H46-TODAY()&lt;=7,"🟡 ATENÇÃO","🟢 OK"))))</f>
        <v/>
      </c>
      <c r="L46" s="25" t="str">
        <f aca="true">IF(H46="","",H46-TODAY())</f>
        <v/>
      </c>
    </row>
    <row r="47" customFormat="false" ht="15" hidden="false" customHeight="true" outlineLevel="0" collapsed="false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4" t="str">
        <f aca="true">IF(I47="Pago","✓ OK",IF(H47="","",IF(H47&lt;TODAY(),"🔴 VENCIDA",IF(H47-TODAY()&lt;=7,"🟡 ATENÇÃO","🟢 OK"))))</f>
        <v/>
      </c>
      <c r="L47" s="25" t="str">
        <f aca="true">IF(H47="","",H47-TODAY())</f>
        <v/>
      </c>
    </row>
    <row r="48" customFormat="false" ht="15" hidden="false" customHeight="true" outlineLevel="0" collapsed="false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4" t="str">
        <f aca="true">IF(I48="Pago","✓ OK",IF(H48="","",IF(H48&lt;TODAY(),"🔴 VENCIDA",IF(H48-TODAY()&lt;=7,"🟡 ATENÇÃO","🟢 OK"))))</f>
        <v/>
      </c>
      <c r="L48" s="25" t="str">
        <f aca="true">IF(H48="","",H48-TODAY())</f>
        <v/>
      </c>
    </row>
    <row r="49" customFormat="false" ht="15" hidden="false" customHeight="true" outlineLevel="0" collapsed="false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4" t="str">
        <f aca="true">IF(I49="Pago","✓ OK",IF(H49="","",IF(H49&lt;TODAY(),"🔴 VENCIDA",IF(H49-TODAY()&lt;=7,"🟡 ATENÇÃO","🟢 OK"))))</f>
        <v/>
      </c>
      <c r="L49" s="25" t="str">
        <f aca="true">IF(H49="","",H49-TODAY())</f>
        <v/>
      </c>
    </row>
    <row r="50" customFormat="false" ht="15" hidden="false" customHeight="true" outlineLevel="0" collapsed="false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4" t="str">
        <f aca="true">IF(I50="Pago","✓ OK",IF(H50="","",IF(H50&lt;TODAY(),"🔴 VENCIDA",IF(H50-TODAY()&lt;=7,"🟡 ATENÇÃO","🟢 OK"))))</f>
        <v/>
      </c>
      <c r="L50" s="25" t="str">
        <f aca="true">IF(H50="","",H50-TODAY())</f>
        <v/>
      </c>
    </row>
    <row r="51" customFormat="false" ht="15" hidden="false" customHeight="true" outlineLevel="0" collapsed="false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4" t="str">
        <f aca="true">IF(I51="Pago","✓ OK",IF(H51="","",IF(H51&lt;TODAY(),"🔴 VENCIDA",IF(H51-TODAY()&lt;=7,"🟡 ATENÇÃO","🟢 OK"))))</f>
        <v/>
      </c>
      <c r="L51" s="25" t="str">
        <f aca="true">IF(H51="","",H51-TODAY())</f>
        <v/>
      </c>
    </row>
    <row r="52" customFormat="false" ht="15" hidden="false" customHeight="true" outlineLevel="0" collapsed="false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4" t="str">
        <f aca="true">IF(I52="Pago","✓ OK",IF(H52="","",IF(H52&lt;TODAY(),"🔴 VENCIDA",IF(H52-TODAY()&lt;=7,"🟡 ATENÇÃO","🟢 OK"))))</f>
        <v/>
      </c>
      <c r="L52" s="25" t="str">
        <f aca="true">IF(H52="","",H52-TODAY())</f>
        <v/>
      </c>
    </row>
    <row r="53" customFormat="false" ht="15" hidden="false" customHeight="true" outlineLevel="0" collapsed="false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4" t="str">
        <f aca="true">IF(I53="Pago","✓ OK",IF(H53="","",IF(H53&lt;TODAY(),"🔴 VENCIDA",IF(H53-TODAY()&lt;=7,"🟡 ATENÇÃO","🟢 OK"))))</f>
        <v/>
      </c>
      <c r="L53" s="25" t="str">
        <f aca="true">IF(H53="","",H53-TODAY())</f>
        <v/>
      </c>
    </row>
    <row r="54" customFormat="false" ht="15" hidden="false" customHeight="true" outlineLevel="0" collapsed="false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4" t="str">
        <f aca="true">IF(I54="Pago","✓ OK",IF(H54="","",IF(H54&lt;TODAY(),"🔴 VENCIDA",IF(H54-TODAY()&lt;=7,"🟡 ATENÇÃO","🟢 OK"))))</f>
        <v/>
      </c>
      <c r="L54" s="25" t="str">
        <f aca="true">IF(H54="","",H54-TODAY())</f>
        <v/>
      </c>
    </row>
    <row r="55" customFormat="false" ht="15" hidden="false" customHeight="true" outlineLevel="0" collapsed="false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4" t="str">
        <f aca="true">IF(I55="Pago","✓ OK",IF(H55="","",IF(H55&lt;TODAY(),"🔴 VENCIDA",IF(H55-TODAY()&lt;=7,"🟡 ATENÇÃO","🟢 OK"))))</f>
        <v/>
      </c>
      <c r="L55" s="25" t="str">
        <f aca="true">IF(H55="","",H55-TODAY())</f>
        <v/>
      </c>
    </row>
    <row r="56" customFormat="false" ht="15" hidden="false" customHeight="true" outlineLevel="0" collapsed="false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4" t="str">
        <f aca="true">IF(I56="Pago","✓ OK",IF(H56="","",IF(H56&lt;TODAY(),"🔴 VENCIDA",IF(H56-TODAY()&lt;=7,"🟡 ATENÇÃO","🟢 OK"))))</f>
        <v/>
      </c>
      <c r="L56" s="25" t="str">
        <f aca="true">IF(H56="","",H56-TODAY())</f>
        <v/>
      </c>
    </row>
    <row r="57" customFormat="false" ht="15" hidden="false" customHeight="true" outlineLevel="0" collapsed="false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4" t="str">
        <f aca="true">IF(I57="Pago","✓ OK",IF(H57="","",IF(H57&lt;TODAY(),"🔴 VENCIDA",IF(H57-TODAY()&lt;=7,"🟡 ATENÇÃO","🟢 OK"))))</f>
        <v/>
      </c>
      <c r="L57" s="25" t="str">
        <f aca="true">IF(H57="","",H57-TODAY())</f>
        <v/>
      </c>
    </row>
    <row r="58" customFormat="false" ht="15" hidden="false" customHeight="true" outlineLevel="0" collapsed="false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4" t="str">
        <f aca="true">IF(I58="Pago","✓ OK",IF(H58="","",IF(H58&lt;TODAY(),"🔴 VENCIDA",IF(H58-TODAY()&lt;=7,"🟡 ATENÇÃO","🟢 OK"))))</f>
        <v/>
      </c>
      <c r="L58" s="25" t="str">
        <f aca="true">IF(H58="","",H58-TODAY())</f>
        <v/>
      </c>
    </row>
    <row r="59" customFormat="false" ht="15" hidden="false" customHeight="true" outlineLevel="0" collapsed="false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4" t="str">
        <f aca="true">IF(I59="Pago","✓ OK",IF(H59="","",IF(H59&lt;TODAY(),"🔴 VENCIDA",IF(H59-TODAY()&lt;=7,"🟡 ATENÇÃO","🟢 OK"))))</f>
        <v/>
      </c>
      <c r="L59" s="25" t="str">
        <f aca="true">IF(H59="","",H59-TODAY())</f>
        <v/>
      </c>
    </row>
    <row r="60" customFormat="false" ht="15" hidden="false" customHeight="true" outlineLevel="0" collapsed="false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4" t="str">
        <f aca="true">IF(I60="Pago","✓ OK",IF(H60="","",IF(H60&lt;TODAY(),"🔴 VENCIDA",IF(H60-TODAY()&lt;=7,"🟡 ATENÇÃO","🟢 OK"))))</f>
        <v/>
      </c>
      <c r="L60" s="25" t="str">
        <f aca="true">IF(H60="","",H60-TODAY())</f>
        <v/>
      </c>
    </row>
    <row r="61" customFormat="false" ht="15" hidden="false" customHeight="true" outlineLevel="0" collapsed="false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4" t="str">
        <f aca="true">IF(I61="Pago","✓ OK",IF(H61="","",IF(H61&lt;TODAY(),"🔴 VENCIDA",IF(H61-TODAY()&lt;=7,"🟡 ATENÇÃO","🟢 OK"))))</f>
        <v/>
      </c>
      <c r="L61" s="25" t="str">
        <f aca="true">IF(H61="","",H61-TODAY())</f>
        <v/>
      </c>
    </row>
    <row r="62" customFormat="false" ht="15" hidden="false" customHeight="true" outlineLevel="0" collapsed="false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4" t="str">
        <f aca="true">IF(I62="Pago","✓ OK",IF(H62="","",IF(H62&lt;TODAY(),"🔴 VENCIDA",IF(H62-TODAY()&lt;=7,"🟡 ATENÇÃO","🟢 OK"))))</f>
        <v/>
      </c>
      <c r="L62" s="25" t="str">
        <f aca="true">IF(H62="","",H62-TODAY())</f>
        <v/>
      </c>
    </row>
    <row r="63" customFormat="false" ht="15" hidden="false" customHeight="true" outlineLevel="0" collapsed="false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4" t="str">
        <f aca="true">IF(I63="Pago","✓ OK",IF(H63="","",IF(H63&lt;TODAY(),"🔴 VENCIDA",IF(H63-TODAY()&lt;=7,"🟡 ATENÇÃO","🟢 OK"))))</f>
        <v/>
      </c>
      <c r="L63" s="25" t="str">
        <f aca="true">IF(H63="","",H63-TODAY())</f>
        <v/>
      </c>
    </row>
    <row r="64" customFormat="false" ht="15" hidden="false" customHeight="true" outlineLevel="0" collapsed="false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4" t="str">
        <f aca="true">IF(I64="Pago","✓ OK",IF(H64="","",IF(H64&lt;TODAY(),"🔴 VENCIDA",IF(H64-TODAY()&lt;=7,"🟡 ATENÇÃO","🟢 OK"))))</f>
        <v/>
      </c>
      <c r="L64" s="25" t="str">
        <f aca="true">IF(H64="","",H64-TODAY())</f>
        <v/>
      </c>
    </row>
    <row r="65" customFormat="false" ht="15" hidden="false" customHeight="true" outlineLevel="0" collapsed="false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4" t="str">
        <f aca="true">IF(I65="Pago","✓ OK",IF(H65="","",IF(H65&lt;TODAY(),"🔴 VENCIDA",IF(H65-TODAY()&lt;=7,"🟡 ATENÇÃO","🟢 OK"))))</f>
        <v/>
      </c>
      <c r="L65" s="25" t="str">
        <f aca="true">IF(H65="","",H65-TODAY())</f>
        <v/>
      </c>
    </row>
    <row r="66" customFormat="false" ht="15" hidden="false" customHeight="true" outlineLevel="0" collapsed="false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4" t="str">
        <f aca="true">IF(I66="Pago","✓ OK",IF(H66="","",IF(H66&lt;TODAY(),"🔴 VENCIDA",IF(H66-TODAY()&lt;=7,"🟡 ATENÇÃO","🟢 OK"))))</f>
        <v/>
      </c>
      <c r="L66" s="25" t="str">
        <f aca="true">IF(H66="","",H66-TODAY())</f>
        <v/>
      </c>
    </row>
    <row r="67" customFormat="false" ht="15" hidden="false" customHeight="true" outlineLevel="0" collapsed="false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4" t="str">
        <f aca="true">IF(I67="Pago","✓ OK",IF(H67="","",IF(H67&lt;TODAY(),"🔴 VENCIDA",IF(H67-TODAY()&lt;=7,"🟡 ATENÇÃO","🟢 OK"))))</f>
        <v/>
      </c>
      <c r="L67" s="25" t="str">
        <f aca="true">IF(H67="","",H67-TODAY())</f>
        <v/>
      </c>
    </row>
    <row r="68" customFormat="false" ht="15" hidden="false" customHeight="true" outlineLevel="0" collapsed="false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4" t="str">
        <f aca="true">IF(I68="Pago","✓ OK",IF(H68="","",IF(H68&lt;TODAY(),"🔴 VENCIDA",IF(H68-TODAY()&lt;=7,"🟡 ATENÇÃO","🟢 OK"))))</f>
        <v/>
      </c>
      <c r="L68" s="25" t="str">
        <f aca="true">IF(H68="","",H68-TODAY())</f>
        <v/>
      </c>
    </row>
    <row r="69" customFormat="false" ht="15" hidden="false" customHeight="true" outlineLevel="0" collapsed="false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4" t="str">
        <f aca="true">IF(I69="Pago","✓ OK",IF(H69="","",IF(H69&lt;TODAY(),"🔴 VENCIDA",IF(H69-TODAY()&lt;=7,"🟡 ATENÇÃO","🟢 OK"))))</f>
        <v/>
      </c>
      <c r="L69" s="25" t="str">
        <f aca="true">IF(H69="","",H69-TODAY())</f>
        <v/>
      </c>
    </row>
    <row r="70" customFormat="false" ht="15" hidden="false" customHeight="true" outlineLevel="0" collapsed="false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4" t="str">
        <f aca="true">IF(I70="Pago","✓ OK",IF(H70="","",IF(H70&lt;TODAY(),"🔴 VENCIDA",IF(H70-TODAY()&lt;=7,"🟡 ATENÇÃO","🟢 OK"))))</f>
        <v/>
      </c>
      <c r="L70" s="25" t="str">
        <f aca="true">IF(H70="","",H70-TODAY())</f>
        <v/>
      </c>
    </row>
    <row r="71" customFormat="false" ht="15" hidden="false" customHeight="true" outlineLevel="0" collapsed="false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4" t="str">
        <f aca="true">IF(I71="Pago","✓ OK",IF(H71="","",IF(H71&lt;TODAY(),"🔴 VENCIDA",IF(H71-TODAY()&lt;=7,"🟡 ATENÇÃO","🟢 OK"))))</f>
        <v/>
      </c>
      <c r="L71" s="25" t="str">
        <f aca="true">IF(H71="","",H71-TODAY())</f>
        <v/>
      </c>
    </row>
    <row r="72" customFormat="false" ht="15" hidden="false" customHeight="true" outlineLevel="0" collapsed="false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4" t="str">
        <f aca="true">IF(I72="Pago","✓ OK",IF(H72="","",IF(H72&lt;TODAY(),"🔴 VENCIDA",IF(H72-TODAY()&lt;=7,"🟡 ATENÇÃO","🟢 OK"))))</f>
        <v/>
      </c>
      <c r="L72" s="25" t="str">
        <f aca="true">IF(H72="","",H72-TODAY())</f>
        <v/>
      </c>
    </row>
    <row r="73" customFormat="false" ht="15" hidden="false" customHeight="true" outlineLevel="0" collapsed="false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4" t="str">
        <f aca="true">IF(I73="Pago","✓ OK",IF(H73="","",IF(H73&lt;TODAY(),"🔴 VENCIDA",IF(H73-TODAY()&lt;=7,"🟡 ATENÇÃO","🟢 OK"))))</f>
        <v/>
      </c>
      <c r="L73" s="25" t="str">
        <f aca="true">IF(H73="","",H73-TODAY())</f>
        <v/>
      </c>
    </row>
    <row r="74" customFormat="false" ht="15" hidden="false" customHeight="true" outlineLevel="0" collapsed="false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4" t="str">
        <f aca="true">IF(I74="Pago","✓ OK",IF(H74="","",IF(H74&lt;TODAY(),"🔴 VENCIDA",IF(H74-TODAY()&lt;=7,"🟡 ATENÇÃO","🟢 OK"))))</f>
        <v/>
      </c>
      <c r="L74" s="25" t="str">
        <f aca="true">IF(H74="","",H74-TODAY())</f>
        <v/>
      </c>
    </row>
    <row r="75" customFormat="false" ht="15" hidden="false" customHeight="true" outlineLevel="0" collapsed="false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4" t="str">
        <f aca="true">IF(I75="Pago","✓ OK",IF(H75="","",IF(H75&lt;TODAY(),"🔴 VENCIDA",IF(H75-TODAY()&lt;=7,"🟡 ATENÇÃO","🟢 OK"))))</f>
        <v/>
      </c>
      <c r="L75" s="25" t="str">
        <f aca="true">IF(H75="","",H75-TODAY())</f>
        <v/>
      </c>
    </row>
    <row r="76" customFormat="false" ht="15" hidden="false" customHeight="true" outlineLevel="0" collapsed="false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4" t="str">
        <f aca="true">IF(I76="Pago","✓ OK",IF(H76="","",IF(H76&lt;TODAY(),"🔴 VENCIDA",IF(H76-TODAY()&lt;=7,"🟡 ATENÇÃO","🟢 OK"))))</f>
        <v/>
      </c>
      <c r="L76" s="25" t="str">
        <f aca="true">IF(H76="","",H76-TODAY())</f>
        <v/>
      </c>
    </row>
    <row r="77" customFormat="false" ht="15" hidden="false" customHeight="true" outlineLevel="0" collapsed="false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4" t="str">
        <f aca="true">IF(I77="Pago","✓ OK",IF(H77="","",IF(H77&lt;TODAY(),"🔴 VENCIDA",IF(H77-TODAY()&lt;=7,"🟡 ATENÇÃO","🟢 OK"))))</f>
        <v/>
      </c>
      <c r="L77" s="25" t="str">
        <f aca="true">IF(H77="","",H77-TODAY())</f>
        <v/>
      </c>
    </row>
    <row r="78" customFormat="false" ht="15" hidden="false" customHeight="true" outlineLevel="0" collapsed="false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4" t="str">
        <f aca="true">IF(I78="Pago","✓ OK",IF(H78="","",IF(H78&lt;TODAY(),"🔴 VENCIDA",IF(H78-TODAY()&lt;=7,"🟡 ATENÇÃO","🟢 OK"))))</f>
        <v/>
      </c>
      <c r="L78" s="25" t="str">
        <f aca="true">IF(H78="","",H78-TODAY())</f>
        <v/>
      </c>
    </row>
    <row r="79" customFormat="false" ht="15" hidden="false" customHeight="true" outlineLevel="0" collapsed="false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4" t="str">
        <f aca="true">IF(I79="Pago","✓ OK",IF(H79="","",IF(H79&lt;TODAY(),"🔴 VENCIDA",IF(H79-TODAY()&lt;=7,"🟡 ATENÇÃO","🟢 OK"))))</f>
        <v/>
      </c>
      <c r="L79" s="25" t="str">
        <f aca="true">IF(H79="","",H79-TODAY())</f>
        <v/>
      </c>
    </row>
    <row r="80" customFormat="false" ht="15" hidden="false" customHeight="true" outlineLevel="0" collapsed="false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4" t="str">
        <f aca="true">IF(I80="Pago","✓ OK",IF(H80="","",IF(H80&lt;TODAY(),"🔴 VENCIDA",IF(H80-TODAY()&lt;=7,"🟡 ATENÇÃO","🟢 OK"))))</f>
        <v/>
      </c>
      <c r="L80" s="25" t="str">
        <f aca="true">IF(H80="","",H80-TODAY())</f>
        <v/>
      </c>
    </row>
    <row r="81" customFormat="false" ht="15" hidden="false" customHeight="true" outlineLevel="0" collapsed="false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4" t="str">
        <f aca="true">IF(I81="Pago","✓ OK",IF(H81="","",IF(H81&lt;TODAY(),"🔴 VENCIDA",IF(H81-TODAY()&lt;=7,"🟡 ATENÇÃO","🟢 OK"))))</f>
        <v/>
      </c>
      <c r="L81" s="25" t="str">
        <f aca="true">IF(H81="","",H81-TODAY())</f>
        <v/>
      </c>
    </row>
    <row r="82" customFormat="false" ht="15" hidden="false" customHeight="true" outlineLevel="0" collapsed="false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4" t="str">
        <f aca="true">IF(I82="Pago","✓ OK",IF(H82="","",IF(H82&lt;TODAY(),"🔴 VENCIDA",IF(H82-TODAY()&lt;=7,"🟡 ATENÇÃO","🟢 OK"))))</f>
        <v/>
      </c>
      <c r="L82" s="25" t="str">
        <f aca="true">IF(H82="","",H82-TODAY())</f>
        <v/>
      </c>
    </row>
    <row r="83" customFormat="false" ht="15" hidden="false" customHeight="true" outlineLevel="0" collapsed="false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4" t="str">
        <f aca="true">IF(I83="Pago","✓ OK",IF(H83="","",IF(H83&lt;TODAY(),"🔴 VENCIDA",IF(H83-TODAY()&lt;=7,"🟡 ATENÇÃO","🟢 OK"))))</f>
        <v/>
      </c>
      <c r="L83" s="25" t="str">
        <f aca="true">IF(H83="","",H83-TODAY())</f>
        <v/>
      </c>
    </row>
    <row r="84" customFormat="false" ht="15" hidden="false" customHeight="true" outlineLevel="0" collapsed="false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4" t="str">
        <f aca="true">IF(I84="Pago","✓ OK",IF(H84="","",IF(H84&lt;TODAY(),"🔴 VENCIDA",IF(H84-TODAY()&lt;=7,"🟡 ATENÇÃO","🟢 OK"))))</f>
        <v/>
      </c>
      <c r="L84" s="25" t="str">
        <f aca="true">IF(H84="","",H84-TODAY())</f>
        <v/>
      </c>
    </row>
    <row r="85" customFormat="false" ht="15" hidden="false" customHeight="true" outlineLevel="0" collapsed="false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4" t="str">
        <f aca="true">IF(I85="Pago","✓ OK",IF(H85="","",IF(H85&lt;TODAY(),"🔴 VENCIDA",IF(H85-TODAY()&lt;=7,"🟡 ATENÇÃO","🟢 OK"))))</f>
        <v/>
      </c>
      <c r="L85" s="25" t="str">
        <f aca="true">IF(H85="","",H85-TODAY())</f>
        <v/>
      </c>
    </row>
    <row r="86" customFormat="false" ht="15" hidden="false" customHeight="true" outlineLevel="0" collapsed="false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4" t="str">
        <f aca="true">IF(I86="Pago","✓ OK",IF(H86="","",IF(H86&lt;TODAY(),"🔴 VENCIDA",IF(H86-TODAY()&lt;=7,"🟡 ATENÇÃO","🟢 OK"))))</f>
        <v/>
      </c>
      <c r="L86" s="25" t="str">
        <f aca="true">IF(H86="","",H86-TODAY())</f>
        <v/>
      </c>
    </row>
    <row r="87" customFormat="false" ht="15" hidden="false" customHeight="true" outlineLevel="0" collapsed="false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4" t="str">
        <f aca="true">IF(I87="Pago","✓ OK",IF(H87="","",IF(H87&lt;TODAY(),"🔴 VENCIDA",IF(H87-TODAY()&lt;=7,"🟡 ATENÇÃO","🟢 OK"))))</f>
        <v/>
      </c>
      <c r="L87" s="25" t="str">
        <f aca="true">IF(H87="","",H87-TODAY())</f>
        <v/>
      </c>
    </row>
    <row r="88" customFormat="false" ht="15" hidden="false" customHeight="true" outlineLevel="0" collapsed="false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4" t="str">
        <f aca="true">IF(I88="Pago","✓ OK",IF(H88="","",IF(H88&lt;TODAY(),"🔴 VENCIDA",IF(H88-TODAY()&lt;=7,"🟡 ATENÇÃO","🟢 OK"))))</f>
        <v/>
      </c>
      <c r="L88" s="25" t="str">
        <f aca="true">IF(H88="","",H88-TODAY())</f>
        <v/>
      </c>
    </row>
    <row r="89" customFormat="false" ht="15" hidden="false" customHeight="true" outlineLevel="0" collapsed="false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4" t="str">
        <f aca="true">IF(I89="Pago","✓ OK",IF(H89="","",IF(H89&lt;TODAY(),"🔴 VENCIDA",IF(H89-TODAY()&lt;=7,"🟡 ATENÇÃO","🟢 OK"))))</f>
        <v/>
      </c>
      <c r="L89" s="25" t="str">
        <f aca="true">IF(H89="","",H89-TODAY())</f>
        <v/>
      </c>
    </row>
    <row r="90" customFormat="false" ht="15" hidden="false" customHeight="true" outlineLevel="0" collapsed="false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4" t="str">
        <f aca="true">IF(I90="Pago","✓ OK",IF(H90="","",IF(H90&lt;TODAY(),"🔴 VENCIDA",IF(H90-TODAY()&lt;=7,"🟡 ATENÇÃO","🟢 OK"))))</f>
        <v/>
      </c>
      <c r="L90" s="25" t="str">
        <f aca="true">IF(H90="","",H90-TODAY())</f>
        <v/>
      </c>
    </row>
    <row r="91" customFormat="false" ht="15" hidden="false" customHeight="true" outlineLevel="0" collapsed="false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4" t="str">
        <f aca="true">IF(I91="Pago","✓ OK",IF(H91="","",IF(H91&lt;TODAY(),"🔴 VENCIDA",IF(H91-TODAY()&lt;=7,"🟡 ATENÇÃO","🟢 OK"))))</f>
        <v/>
      </c>
      <c r="L91" s="25" t="str">
        <f aca="true">IF(H91="","",H91-TODAY())</f>
        <v/>
      </c>
    </row>
    <row r="92" customFormat="false" ht="15" hidden="false" customHeight="true" outlineLevel="0" collapsed="false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4" t="str">
        <f aca="true">IF(I92="Pago","✓ OK",IF(H92="","",IF(H92&lt;TODAY(),"🔴 VENCIDA",IF(H92-TODAY()&lt;=7,"🟡 ATENÇÃO","🟢 OK"))))</f>
        <v/>
      </c>
      <c r="L92" s="25" t="str">
        <f aca="true">IF(H92="","",H92-TODAY())</f>
        <v/>
      </c>
    </row>
    <row r="93" customFormat="false" ht="15" hidden="false" customHeight="true" outlineLevel="0" collapsed="false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4" t="str">
        <f aca="true">IF(I93="Pago","✓ OK",IF(H93="","",IF(H93&lt;TODAY(),"🔴 VENCIDA",IF(H93-TODAY()&lt;=7,"🟡 ATENÇÃO","🟢 OK"))))</f>
        <v/>
      </c>
      <c r="L93" s="25" t="str">
        <f aca="true">IF(H93="","",H93-TODAY())</f>
        <v/>
      </c>
    </row>
    <row r="94" customFormat="false" ht="15" hidden="false" customHeight="true" outlineLevel="0" collapsed="false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4" t="str">
        <f aca="true">IF(I94="Pago","✓ OK",IF(H94="","",IF(H94&lt;TODAY(),"🔴 VENCIDA",IF(H94-TODAY()&lt;=7,"🟡 ATENÇÃO","🟢 OK"))))</f>
        <v/>
      </c>
      <c r="L94" s="25" t="str">
        <f aca="true">IF(H94="","",H94-TODAY())</f>
        <v/>
      </c>
    </row>
    <row r="95" customFormat="false" ht="15" hidden="false" customHeight="true" outlineLevel="0" collapsed="false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4" t="str">
        <f aca="true">IF(I95="Pago","✓ OK",IF(H95="","",IF(H95&lt;TODAY(),"🔴 VENCIDA",IF(H95-TODAY()&lt;=7,"🟡 ATENÇÃO","🟢 OK"))))</f>
        <v/>
      </c>
      <c r="L95" s="25" t="str">
        <f aca="true">IF(H95="","",H95-TODAY())</f>
        <v/>
      </c>
    </row>
    <row r="96" customFormat="false" ht="15" hidden="false" customHeight="true" outlineLevel="0" collapsed="false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4" t="str">
        <f aca="true">IF(I96="Pago","✓ OK",IF(H96="","",IF(H96&lt;TODAY(),"🔴 VENCIDA",IF(H96-TODAY()&lt;=7,"🟡 ATENÇÃO","🟢 OK"))))</f>
        <v/>
      </c>
      <c r="L96" s="25" t="str">
        <f aca="true">IF(H96="","",H96-TODAY())</f>
        <v/>
      </c>
    </row>
    <row r="97" customFormat="false" ht="15" hidden="false" customHeight="true" outlineLevel="0" collapsed="false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4" t="str">
        <f aca="true">IF(I97="Pago","✓ OK",IF(H97="","",IF(H97&lt;TODAY(),"🔴 VENCIDA",IF(H97-TODAY()&lt;=7,"🟡 ATENÇÃO","🟢 OK"))))</f>
        <v/>
      </c>
      <c r="L97" s="25" t="str">
        <f aca="true">IF(H97="","",H97-TODAY())</f>
        <v/>
      </c>
    </row>
    <row r="98" customFormat="false" ht="15" hidden="false" customHeight="true" outlineLevel="0" collapsed="false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4" t="str">
        <f aca="true">IF(I98="Pago","✓ OK",IF(H98="","",IF(H98&lt;TODAY(),"🔴 VENCIDA",IF(H98-TODAY()&lt;=7,"🟡 ATENÇÃO","🟢 OK"))))</f>
        <v/>
      </c>
      <c r="L98" s="25" t="str">
        <f aca="true">IF(H98="","",H98-TODAY())</f>
        <v/>
      </c>
    </row>
    <row r="99" customFormat="false" ht="15" hidden="false" customHeight="true" outlineLevel="0" collapsed="false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4" t="str">
        <f aca="true">IF(I99="Pago","✓ OK",IF(H99="","",IF(H99&lt;TODAY(),"🔴 VENCIDA",IF(H99-TODAY()&lt;=7,"🟡 ATENÇÃO","🟢 OK"))))</f>
        <v/>
      </c>
      <c r="L99" s="25" t="str">
        <f aca="true">IF(H99="","",H99-TODAY())</f>
        <v/>
      </c>
    </row>
    <row r="100" customFormat="false" ht="15" hidden="false" customHeight="true" outlineLevel="0" collapsed="false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4" t="str">
        <f aca="true">IF(I100="Pago","✓ OK",IF(H100="","",IF(H100&lt;TODAY(),"🔴 VENCIDA",IF(H100-TODAY()&lt;=7,"🟡 ATENÇÃO","🟢 OK"))))</f>
        <v/>
      </c>
      <c r="L100" s="25" t="str">
        <f aca="true">IF(H100="","",H100-TODAY())</f>
        <v/>
      </c>
    </row>
    <row r="101" customFormat="false" ht="15" hidden="false" customHeight="true" outlineLevel="0" collapsed="false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4" t="str">
        <f aca="true">IF(I101="Pago","✓ OK",IF(H101="","",IF(H101&lt;TODAY(),"🔴 VENCIDA",IF(H101-TODAY()&lt;=7,"🟡 ATENÇÃO","🟢 OK"))))</f>
        <v/>
      </c>
      <c r="L101" s="25" t="str">
        <f aca="true">IF(H101="","",H101-TODAY())</f>
        <v/>
      </c>
    </row>
    <row r="102" customFormat="false" ht="15" hidden="false" customHeight="true" outlineLevel="0" collapsed="false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4" t="str">
        <f aca="true">IF(I102="Pago","✓ OK",IF(H102="","",IF(H102&lt;TODAY(),"🔴 VENCIDA",IF(H102-TODAY()&lt;=7,"🟡 ATENÇÃO","🟢 OK"))))</f>
        <v/>
      </c>
      <c r="L102" s="25" t="str">
        <f aca="true">IF(H102="","",H102-TODAY())</f>
        <v/>
      </c>
    </row>
    <row r="103" customFormat="false" ht="15" hidden="false" customHeight="true" outlineLevel="0" collapsed="false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4" t="str">
        <f aca="true">IF(I103="Pago","✓ OK",IF(H103="","",IF(H103&lt;TODAY(),"🔴 VENCIDA",IF(H103-TODAY()&lt;=7,"🟡 ATENÇÃO","🟢 OK"))))</f>
        <v/>
      </c>
      <c r="L103" s="25" t="str">
        <f aca="true">IF(H103="","",H103-TODAY())</f>
        <v/>
      </c>
    </row>
    <row r="104" customFormat="false" ht="15" hidden="false" customHeight="true" outlineLevel="0" collapsed="false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4" t="str">
        <f aca="true">IF(I104="Pago","✓ OK",IF(H104="","",IF(H104&lt;TODAY(),"🔴 VENCIDA",IF(H104-TODAY()&lt;=7,"🟡 ATENÇÃO","🟢 OK"))))</f>
        <v/>
      </c>
      <c r="L104" s="25" t="str">
        <f aca="true">IF(H104="","",H104-TODAY())</f>
        <v/>
      </c>
    </row>
    <row r="105" customFormat="false" ht="15" hidden="false" customHeight="true" outlineLevel="0" collapsed="false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4" t="str">
        <f aca="true">IF(I105="Pago","✓ OK",IF(H105="","",IF(H105&lt;TODAY(),"🔴 VENCIDA",IF(H105-TODAY()&lt;=7,"🟡 ATENÇÃO","🟢 OK"))))</f>
        <v/>
      </c>
      <c r="L105" s="25" t="str">
        <f aca="true">IF(H105="","",H105-TODAY())</f>
        <v/>
      </c>
    </row>
    <row r="106" customFormat="false" ht="15" hidden="false" customHeight="true" outlineLevel="0" collapsed="false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4" t="str">
        <f aca="true">IF(I106="Pago","✓ OK",IF(H106="","",IF(H106&lt;TODAY(),"🔴 VENCIDA",IF(H106-TODAY()&lt;=7,"🟡 ATENÇÃO","🟢 OK"))))</f>
        <v/>
      </c>
      <c r="L106" s="25" t="str">
        <f aca="true">IF(H106="","",H106-TODAY())</f>
        <v/>
      </c>
    </row>
    <row r="107" customFormat="false" ht="15" hidden="false" customHeight="true" outlineLevel="0" collapsed="false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4" t="str">
        <f aca="true">IF(I107="Pago","✓ OK",IF(H107="","",IF(H107&lt;TODAY(),"🔴 VENCIDA",IF(H107-TODAY()&lt;=7,"🟡 ATENÇÃO","🟢 OK"))))</f>
        <v/>
      </c>
      <c r="L107" s="25" t="str">
        <f aca="true">IF(H107="","",H107-TODAY())</f>
        <v/>
      </c>
    </row>
    <row r="108" customFormat="false" ht="15" hidden="false" customHeight="true" outlineLevel="0" collapsed="false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4" t="str">
        <f aca="true">IF(I108="Pago","✓ OK",IF(H108="","",IF(H108&lt;TODAY(),"🔴 VENCIDA",IF(H108-TODAY()&lt;=7,"🟡 ATENÇÃO","🟢 OK"))))</f>
        <v/>
      </c>
      <c r="L108" s="25" t="str">
        <f aca="true">IF(H108="","",H108-TODAY())</f>
        <v/>
      </c>
    </row>
    <row r="109" customFormat="false" ht="15" hidden="false" customHeight="true" outlineLevel="0" collapsed="false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4" t="str">
        <f aca="true">IF(I109="Pago","✓ OK",IF(H109="","",IF(H109&lt;TODAY(),"🔴 VENCIDA",IF(H109-TODAY()&lt;=7,"🟡 ATENÇÃO","🟢 OK"))))</f>
        <v/>
      </c>
      <c r="L109" s="25" t="str">
        <f aca="true">IF(H109="","",H109-TODAY())</f>
        <v/>
      </c>
    </row>
    <row r="110" customFormat="false" ht="15" hidden="false" customHeight="true" outlineLevel="0" collapsed="false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4" t="str">
        <f aca="true">IF(I110="Pago","✓ OK",IF(H110="","",IF(H110&lt;TODAY(),"🔴 VENCIDA",IF(H110-TODAY()&lt;=7,"🟡 ATENÇÃO","🟢 OK"))))</f>
        <v/>
      </c>
      <c r="L110" s="25" t="str">
        <f aca="true">IF(H110="","",H110-TODAY())</f>
        <v/>
      </c>
    </row>
    <row r="111" customFormat="false" ht="15" hidden="false" customHeight="true" outlineLevel="0" collapsed="false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4" t="str">
        <f aca="true">IF(I111="Pago","✓ OK",IF(H111="","",IF(H111&lt;TODAY(),"🔴 VENCIDA",IF(H111-TODAY()&lt;=7,"🟡 ATENÇÃO","🟢 OK"))))</f>
        <v/>
      </c>
      <c r="L111" s="25" t="str">
        <f aca="true">IF(H111="","",H111-TODAY())</f>
        <v/>
      </c>
    </row>
    <row r="112" customFormat="false" ht="15" hidden="false" customHeight="true" outlineLevel="0" collapsed="false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4" t="str">
        <f aca="true">IF(I112="Pago","✓ OK",IF(H112="","",IF(H112&lt;TODAY(),"🔴 VENCIDA",IF(H112-TODAY()&lt;=7,"🟡 ATENÇÃO","🟢 OK"))))</f>
        <v/>
      </c>
      <c r="L112" s="25" t="str">
        <f aca="true">IF(H112="","",H112-TODAY())</f>
        <v/>
      </c>
    </row>
    <row r="113" customFormat="false" ht="15" hidden="false" customHeight="true" outlineLevel="0" collapsed="false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4" t="str">
        <f aca="true">IF(I113="Pago","✓ OK",IF(H113="","",IF(H113&lt;TODAY(),"🔴 VENCIDA",IF(H113-TODAY()&lt;=7,"🟡 ATENÇÃO","🟢 OK"))))</f>
        <v/>
      </c>
      <c r="L113" s="25" t="str">
        <f aca="true">IF(H113="","",H113-TODAY())</f>
        <v/>
      </c>
    </row>
    <row r="114" customFormat="false" ht="15" hidden="false" customHeight="true" outlineLevel="0" collapsed="false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4" t="str">
        <f aca="true">IF(I114="Pago","✓ OK",IF(H114="","",IF(H114&lt;TODAY(),"🔴 VENCIDA",IF(H114-TODAY()&lt;=7,"🟡 ATENÇÃO","🟢 OK"))))</f>
        <v/>
      </c>
      <c r="L114" s="25" t="str">
        <f aca="true">IF(H114="","",H114-TODAY())</f>
        <v/>
      </c>
    </row>
    <row r="115" customFormat="false" ht="15" hidden="false" customHeight="true" outlineLevel="0" collapsed="false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4" t="str">
        <f aca="true">IF(I115="Pago","✓ OK",IF(H115="","",IF(H115&lt;TODAY(),"🔴 VENCIDA",IF(H115-TODAY()&lt;=7,"🟡 ATENÇÃO","🟢 OK"))))</f>
        <v/>
      </c>
      <c r="L115" s="25" t="str">
        <f aca="true">IF(H115="","",H115-TODAY())</f>
        <v/>
      </c>
    </row>
    <row r="116" customFormat="false" ht="15" hidden="false" customHeight="true" outlineLevel="0" collapsed="false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4" t="str">
        <f aca="true">IF(I116="Pago","✓ OK",IF(H116="","",IF(H116&lt;TODAY(),"🔴 VENCIDA",IF(H116-TODAY()&lt;=7,"🟡 ATENÇÃO","🟢 OK"))))</f>
        <v/>
      </c>
      <c r="L116" s="25" t="str">
        <f aca="true">IF(H116="","",H116-TODAY())</f>
        <v/>
      </c>
    </row>
    <row r="117" customFormat="false" ht="15" hidden="false" customHeight="true" outlineLevel="0" collapsed="false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4" t="str">
        <f aca="true">IF(I117="Pago","✓ OK",IF(H117="","",IF(H117&lt;TODAY(),"🔴 VENCIDA",IF(H117-TODAY()&lt;=7,"🟡 ATENÇÃO","🟢 OK"))))</f>
        <v/>
      </c>
      <c r="L117" s="25" t="str">
        <f aca="true">IF(H117="","",H117-TODAY())</f>
        <v/>
      </c>
    </row>
    <row r="118" customFormat="false" ht="15" hidden="false" customHeight="true" outlineLevel="0" collapsed="false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4" t="str">
        <f aca="true">IF(I118="Pago","✓ OK",IF(H118="","",IF(H118&lt;TODAY(),"🔴 VENCIDA",IF(H118-TODAY()&lt;=7,"🟡 ATENÇÃO","🟢 OK"))))</f>
        <v/>
      </c>
      <c r="L118" s="25" t="str">
        <f aca="true">IF(H118="","",H118-TODAY())</f>
        <v/>
      </c>
    </row>
    <row r="119" customFormat="false" ht="15" hidden="false" customHeight="true" outlineLevel="0" collapsed="false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4" t="str">
        <f aca="true">IF(I119="Pago","✓ OK",IF(H119="","",IF(H119&lt;TODAY(),"🔴 VENCIDA",IF(H119-TODAY()&lt;=7,"🟡 ATENÇÃO","🟢 OK"))))</f>
        <v/>
      </c>
      <c r="L119" s="25" t="str">
        <f aca="true">IF(H119="","",H119-TODAY())</f>
        <v/>
      </c>
    </row>
    <row r="120" customFormat="false" ht="15" hidden="false" customHeight="true" outlineLevel="0" collapsed="false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4" t="str">
        <f aca="true">IF(I120="Pago","✓ OK",IF(H120="","",IF(H120&lt;TODAY(),"🔴 VENCIDA",IF(H120-TODAY()&lt;=7,"🟡 ATENÇÃO","🟢 OK"))))</f>
        <v/>
      </c>
      <c r="L120" s="25" t="str">
        <f aca="true">IF(H120="","",H120-TODAY())</f>
        <v/>
      </c>
    </row>
    <row r="121" customFormat="false" ht="15" hidden="false" customHeight="true" outlineLevel="0" collapsed="false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4" t="str">
        <f aca="true">IF(I121="Pago","✓ OK",IF(H121="","",IF(H121&lt;TODAY(),"🔴 VENCIDA",IF(H121-TODAY()&lt;=7,"🟡 ATENÇÃO","🟢 OK"))))</f>
        <v/>
      </c>
      <c r="L121" s="25" t="str">
        <f aca="true">IF(H121="","",H121-TODAY())</f>
        <v/>
      </c>
    </row>
    <row r="122" customFormat="false" ht="15" hidden="false" customHeight="true" outlineLevel="0" collapsed="false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4" t="str">
        <f aca="true">IF(I122="Pago","✓ OK",IF(H122="","",IF(H122&lt;TODAY(),"🔴 VENCIDA",IF(H122-TODAY()&lt;=7,"🟡 ATENÇÃO","🟢 OK"))))</f>
        <v/>
      </c>
      <c r="L122" s="25" t="str">
        <f aca="true">IF(H122="","",H122-TODAY())</f>
        <v/>
      </c>
    </row>
    <row r="123" customFormat="false" ht="15" hidden="false" customHeight="true" outlineLevel="0" collapsed="false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4" t="str">
        <f aca="true">IF(I123="Pago","✓ OK",IF(H123="","",IF(H123&lt;TODAY(),"🔴 VENCIDA",IF(H123-TODAY()&lt;=7,"🟡 ATENÇÃO","🟢 OK"))))</f>
        <v/>
      </c>
      <c r="L123" s="25" t="str">
        <f aca="true">IF(H123="","",H123-TODAY())</f>
        <v/>
      </c>
    </row>
    <row r="124" customFormat="false" ht="15" hidden="false" customHeight="true" outlineLevel="0" collapsed="false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4" t="str">
        <f aca="true">IF(I124="Pago","✓ OK",IF(H124="","",IF(H124&lt;TODAY(),"🔴 VENCIDA",IF(H124-TODAY()&lt;=7,"🟡 ATENÇÃO","🟢 OK"))))</f>
        <v/>
      </c>
      <c r="L124" s="25" t="str">
        <f aca="true">IF(H124="","",H124-TODAY())</f>
        <v/>
      </c>
    </row>
    <row r="125" customFormat="false" ht="15" hidden="false" customHeight="true" outlineLevel="0" collapsed="false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4" t="str">
        <f aca="true">IF(I125="Pago","✓ OK",IF(H125="","",IF(H125&lt;TODAY(),"🔴 VENCIDA",IF(H125-TODAY()&lt;=7,"🟡 ATENÇÃO","🟢 OK"))))</f>
        <v/>
      </c>
      <c r="L125" s="25" t="str">
        <f aca="true">IF(H125="","",H125-TODAY())</f>
        <v/>
      </c>
    </row>
    <row r="126" customFormat="false" ht="15" hidden="false" customHeight="true" outlineLevel="0" collapsed="false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4" t="str">
        <f aca="true">IF(I126="Pago","✓ OK",IF(H126="","",IF(H126&lt;TODAY(),"🔴 VENCIDA",IF(H126-TODAY()&lt;=7,"🟡 ATENÇÃO","🟢 OK"))))</f>
        <v/>
      </c>
      <c r="L126" s="25" t="str">
        <f aca="true">IF(H126="","",H126-TODAY())</f>
        <v/>
      </c>
    </row>
    <row r="127" customFormat="false" ht="15" hidden="false" customHeight="true" outlineLevel="0" collapsed="false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4" t="str">
        <f aca="true">IF(I127="Pago","✓ OK",IF(H127="","",IF(H127&lt;TODAY(),"🔴 VENCIDA",IF(H127-TODAY()&lt;=7,"🟡 ATENÇÃO","🟢 OK"))))</f>
        <v/>
      </c>
      <c r="L127" s="25" t="str">
        <f aca="true">IF(H127="","",H127-TODAY())</f>
        <v/>
      </c>
    </row>
    <row r="128" customFormat="false" ht="15" hidden="false" customHeight="true" outlineLevel="0" collapsed="false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4" t="str">
        <f aca="true">IF(I128="Pago","✓ OK",IF(H128="","",IF(H128&lt;TODAY(),"🔴 VENCIDA",IF(H128-TODAY()&lt;=7,"🟡 ATENÇÃO","🟢 OK"))))</f>
        <v/>
      </c>
      <c r="L128" s="25" t="str">
        <f aca="true">IF(H128="","",H128-TODAY())</f>
        <v/>
      </c>
    </row>
    <row r="129" customFormat="false" ht="15" hidden="false" customHeight="true" outlineLevel="0" collapsed="false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4" t="str">
        <f aca="true">IF(I129="Pago","✓ OK",IF(H129="","",IF(H129&lt;TODAY(),"🔴 VENCIDA",IF(H129-TODAY()&lt;=7,"🟡 ATENÇÃO","🟢 OK"))))</f>
        <v/>
      </c>
      <c r="L129" s="25" t="str">
        <f aca="true">IF(H129="","",H129-TODAY())</f>
        <v/>
      </c>
    </row>
    <row r="130" customFormat="false" ht="15" hidden="false" customHeight="true" outlineLevel="0" collapsed="false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4" t="str">
        <f aca="true">IF(I130="Pago","✓ OK",IF(H130="","",IF(H130&lt;TODAY(),"🔴 VENCIDA",IF(H130-TODAY()&lt;=7,"🟡 ATENÇÃO","🟢 OK"))))</f>
        <v/>
      </c>
      <c r="L130" s="25" t="str">
        <f aca="true">IF(H130="","",H130-TODAY())</f>
        <v/>
      </c>
    </row>
    <row r="131" customFormat="false" ht="15" hidden="false" customHeight="true" outlineLevel="0" collapsed="false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4" t="str">
        <f aca="true">IF(I131="Pago","✓ OK",IF(H131="","",IF(H131&lt;TODAY(),"🔴 VENCIDA",IF(H131-TODAY()&lt;=7,"🟡 ATENÇÃO","🟢 OK"))))</f>
        <v/>
      </c>
      <c r="L131" s="25" t="str">
        <f aca="true">IF(H131="","",H131-TODAY())</f>
        <v/>
      </c>
    </row>
    <row r="132" customFormat="false" ht="15" hidden="false" customHeight="true" outlineLevel="0" collapsed="false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4" t="str">
        <f aca="true">IF(I132="Pago","✓ OK",IF(H132="","",IF(H132&lt;TODAY(),"🔴 VENCIDA",IF(H132-TODAY()&lt;=7,"🟡 ATENÇÃO","🟢 OK"))))</f>
        <v/>
      </c>
      <c r="L132" s="25" t="str">
        <f aca="true">IF(H132="","",H132-TODAY())</f>
        <v/>
      </c>
    </row>
    <row r="133" customFormat="false" ht="15" hidden="false" customHeight="true" outlineLevel="0" collapsed="false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4" t="str">
        <f aca="true">IF(I133="Pago","✓ OK",IF(H133="","",IF(H133&lt;TODAY(),"🔴 VENCIDA",IF(H133-TODAY()&lt;=7,"🟡 ATENÇÃO","🟢 OK"))))</f>
        <v/>
      </c>
      <c r="L133" s="25" t="str">
        <f aca="true">IF(H133="","",H133-TODAY())</f>
        <v/>
      </c>
    </row>
    <row r="134" customFormat="false" ht="15" hidden="false" customHeight="true" outlineLevel="0" collapsed="false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4" t="str">
        <f aca="true">IF(I134="Pago","✓ OK",IF(H134="","",IF(H134&lt;TODAY(),"🔴 VENCIDA",IF(H134-TODAY()&lt;=7,"🟡 ATENÇÃO","🟢 OK"))))</f>
        <v/>
      </c>
      <c r="L134" s="25" t="str">
        <f aca="true">IF(H134="","",H134-TODAY())</f>
        <v/>
      </c>
    </row>
    <row r="135" customFormat="false" ht="15" hidden="false" customHeight="true" outlineLevel="0" collapsed="false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4" t="str">
        <f aca="true">IF(I135="Pago","✓ OK",IF(H135="","",IF(H135&lt;TODAY(),"🔴 VENCIDA",IF(H135-TODAY()&lt;=7,"🟡 ATENÇÃO","🟢 OK"))))</f>
        <v/>
      </c>
      <c r="L135" s="25" t="str">
        <f aca="true">IF(H135="","",H135-TODAY())</f>
        <v/>
      </c>
    </row>
    <row r="136" customFormat="false" ht="15" hidden="false" customHeight="true" outlineLevel="0" collapsed="false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4" t="str">
        <f aca="true">IF(I136="Pago","✓ OK",IF(H136="","",IF(H136&lt;TODAY(),"🔴 VENCIDA",IF(H136-TODAY()&lt;=7,"🟡 ATENÇÃO","🟢 OK"))))</f>
        <v/>
      </c>
      <c r="L136" s="25" t="str">
        <f aca="true">IF(H136="","",H136-TODAY())</f>
        <v/>
      </c>
    </row>
    <row r="137" customFormat="false" ht="15" hidden="false" customHeight="true" outlineLevel="0" collapsed="false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4" t="str">
        <f aca="true">IF(I137="Pago","✓ OK",IF(H137="","",IF(H137&lt;TODAY(),"🔴 VENCIDA",IF(H137-TODAY()&lt;=7,"🟡 ATENÇÃO","🟢 OK"))))</f>
        <v/>
      </c>
      <c r="L137" s="25" t="str">
        <f aca="true">IF(H137="","",H137-TODAY())</f>
        <v/>
      </c>
    </row>
    <row r="138" customFormat="false" ht="15" hidden="false" customHeight="true" outlineLevel="0" collapsed="false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4" t="str">
        <f aca="true">IF(I138="Pago","✓ OK",IF(H138="","",IF(H138&lt;TODAY(),"🔴 VENCIDA",IF(H138-TODAY()&lt;=7,"🟡 ATENÇÃO","🟢 OK"))))</f>
        <v/>
      </c>
      <c r="L138" s="25" t="str">
        <f aca="true">IF(H138="","",H138-TODAY())</f>
        <v/>
      </c>
    </row>
    <row r="139" customFormat="false" ht="15" hidden="false" customHeight="true" outlineLevel="0" collapsed="false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4" t="str">
        <f aca="true">IF(I139="Pago","✓ OK",IF(H139="","",IF(H139&lt;TODAY(),"🔴 VENCIDA",IF(H139-TODAY()&lt;=7,"🟡 ATENÇÃO","🟢 OK"))))</f>
        <v/>
      </c>
      <c r="L139" s="25" t="str">
        <f aca="true">IF(H139="","",H139-TODAY())</f>
        <v/>
      </c>
    </row>
    <row r="140" customFormat="false" ht="15" hidden="false" customHeight="true" outlineLevel="0" collapsed="false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4" t="str">
        <f aca="true">IF(I140="Pago","✓ OK",IF(H140="","",IF(H140&lt;TODAY(),"🔴 VENCIDA",IF(H140-TODAY()&lt;=7,"🟡 ATENÇÃO","🟢 OK"))))</f>
        <v/>
      </c>
      <c r="L140" s="25" t="str">
        <f aca="true">IF(H140="","",H140-TODAY())</f>
        <v/>
      </c>
    </row>
    <row r="141" customFormat="false" ht="15" hidden="false" customHeight="true" outlineLevel="0" collapsed="false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4" t="str">
        <f aca="true">IF(I141="Pago","✓ OK",IF(H141="","",IF(H141&lt;TODAY(),"🔴 VENCIDA",IF(H141-TODAY()&lt;=7,"🟡 ATENÇÃO","🟢 OK"))))</f>
        <v/>
      </c>
      <c r="L141" s="25" t="str">
        <f aca="true">IF(H141="","",H141-TODAY())</f>
        <v/>
      </c>
    </row>
    <row r="142" customFormat="false" ht="15" hidden="false" customHeight="true" outlineLevel="0" collapsed="false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4" t="str">
        <f aca="true">IF(I142="Pago","✓ OK",IF(H142="","",IF(H142&lt;TODAY(),"🔴 VENCIDA",IF(H142-TODAY()&lt;=7,"🟡 ATENÇÃO","🟢 OK"))))</f>
        <v/>
      </c>
      <c r="L142" s="25" t="str">
        <f aca="true">IF(H142="","",H142-TODAY())</f>
        <v/>
      </c>
    </row>
    <row r="143" customFormat="false" ht="15" hidden="false" customHeight="true" outlineLevel="0" collapsed="false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4" t="str">
        <f aca="true">IF(I143="Pago","✓ OK",IF(H143="","",IF(H143&lt;TODAY(),"🔴 VENCIDA",IF(H143-TODAY()&lt;=7,"🟡 ATENÇÃO","🟢 OK"))))</f>
        <v/>
      </c>
      <c r="L143" s="25" t="str">
        <f aca="true">IF(H143="","",H143-TODAY())</f>
        <v/>
      </c>
    </row>
    <row r="144" customFormat="false" ht="15" hidden="false" customHeight="true" outlineLevel="0" collapsed="false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4" t="str">
        <f aca="true">IF(I144="Pago","✓ OK",IF(H144="","",IF(H144&lt;TODAY(),"🔴 VENCIDA",IF(H144-TODAY()&lt;=7,"🟡 ATENÇÃO","🟢 OK"))))</f>
        <v/>
      </c>
      <c r="L144" s="25" t="str">
        <f aca="true">IF(H144="","",H144-TODAY())</f>
        <v/>
      </c>
    </row>
    <row r="145" customFormat="false" ht="15" hidden="false" customHeight="true" outlineLevel="0" collapsed="false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4" t="str">
        <f aca="true">IF(I145="Pago","✓ OK",IF(H145="","",IF(H145&lt;TODAY(),"🔴 VENCIDA",IF(H145-TODAY()&lt;=7,"🟡 ATENÇÃO","🟢 OK"))))</f>
        <v/>
      </c>
      <c r="L145" s="25" t="str">
        <f aca="true">IF(H145="","",H145-TODAY())</f>
        <v/>
      </c>
    </row>
    <row r="146" customFormat="false" ht="15" hidden="false" customHeight="true" outlineLevel="0" collapsed="false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4" t="str">
        <f aca="true">IF(I146="Pago","✓ OK",IF(H146="","",IF(H146&lt;TODAY(),"🔴 VENCIDA",IF(H146-TODAY()&lt;=7,"🟡 ATENÇÃO","🟢 OK"))))</f>
        <v/>
      </c>
      <c r="L146" s="25" t="str">
        <f aca="true">IF(H146="","",H146-TODAY())</f>
        <v/>
      </c>
    </row>
    <row r="147" customFormat="false" ht="15" hidden="false" customHeight="true" outlineLevel="0" collapsed="false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4" t="str">
        <f aca="true">IF(I147="Pago","✓ OK",IF(H147="","",IF(H147&lt;TODAY(),"🔴 VENCIDA",IF(H147-TODAY()&lt;=7,"🟡 ATENÇÃO","🟢 OK"))))</f>
        <v/>
      </c>
      <c r="L147" s="25" t="str">
        <f aca="true">IF(H147="","",H147-TODAY())</f>
        <v/>
      </c>
    </row>
    <row r="148" customFormat="false" ht="15" hidden="false" customHeight="true" outlineLevel="0" collapsed="false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4" t="str">
        <f aca="true">IF(I148="Pago","✓ OK",IF(H148="","",IF(H148&lt;TODAY(),"🔴 VENCIDA",IF(H148-TODAY()&lt;=7,"🟡 ATENÇÃO","🟢 OK"))))</f>
        <v/>
      </c>
      <c r="L148" s="25" t="str">
        <f aca="true">IF(H148="","",H148-TODAY())</f>
        <v/>
      </c>
    </row>
    <row r="149" customFormat="false" ht="15" hidden="false" customHeight="true" outlineLevel="0" collapsed="false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4" t="str">
        <f aca="true">IF(I149="Pago","✓ OK",IF(H149="","",IF(H149&lt;TODAY(),"🔴 VENCIDA",IF(H149-TODAY()&lt;=7,"🟡 ATENÇÃO","🟢 OK"))))</f>
        <v/>
      </c>
      <c r="L149" s="25" t="str">
        <f aca="true">IF(H149="","",H149-TODAY())</f>
        <v/>
      </c>
    </row>
    <row r="150" customFormat="false" ht="15" hidden="false" customHeight="true" outlineLevel="0" collapsed="false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4" t="str">
        <f aca="true">IF(I150="Pago","✓ OK",IF(H150="","",IF(H150&lt;TODAY(),"🔴 VENCIDA",IF(H150-TODAY()&lt;=7,"🟡 ATENÇÃO","🟢 OK"))))</f>
        <v/>
      </c>
      <c r="L150" s="25" t="str">
        <f aca="true">IF(H150="","",H150-TODAY())</f>
        <v/>
      </c>
    </row>
    <row r="151" customFormat="false" ht="15" hidden="false" customHeight="true" outlineLevel="0" collapsed="false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4" t="str">
        <f aca="true">IF(I151="Pago","✓ OK",IF(H151="","",IF(H151&lt;TODAY(),"🔴 VENCIDA",IF(H151-TODAY()&lt;=7,"🟡 ATENÇÃO","🟢 OK"))))</f>
        <v/>
      </c>
      <c r="L151" s="25" t="str">
        <f aca="true">IF(H151="","",H151-TODAY())</f>
        <v/>
      </c>
    </row>
    <row r="152" customFormat="false" ht="15" hidden="false" customHeight="true" outlineLevel="0" collapsed="false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4" t="str">
        <f aca="true">IF(I152="Pago","✓ OK",IF(H152="","",IF(H152&lt;TODAY(),"🔴 VENCIDA",IF(H152-TODAY()&lt;=7,"🟡 ATENÇÃO","🟢 OK"))))</f>
        <v/>
      </c>
      <c r="L152" s="25" t="str">
        <f aca="true">IF(H152="","",H152-TODAY())</f>
        <v/>
      </c>
    </row>
    <row r="153" customFormat="false" ht="15" hidden="false" customHeight="true" outlineLevel="0" collapsed="false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4" t="str">
        <f aca="true">IF(I153="Pago","✓ OK",IF(H153="","",IF(H153&lt;TODAY(),"🔴 VENCIDA",IF(H153-TODAY()&lt;=7,"🟡 ATENÇÃO","🟢 OK"))))</f>
        <v/>
      </c>
      <c r="L153" s="25" t="str">
        <f aca="true">IF(H153="","",H153-TODAY())</f>
        <v/>
      </c>
    </row>
    <row r="154" customFormat="false" ht="15" hidden="false" customHeight="true" outlineLevel="0" collapsed="false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4" t="str">
        <f aca="true">IF(I154="Pago","✓ OK",IF(H154="","",IF(H154&lt;TODAY(),"🔴 VENCIDA",IF(H154-TODAY()&lt;=7,"🟡 ATENÇÃO","🟢 OK"))))</f>
        <v/>
      </c>
      <c r="L154" s="25" t="str">
        <f aca="true">IF(H154="","",H154-TODAY())</f>
        <v/>
      </c>
    </row>
    <row r="155" customFormat="false" ht="15" hidden="false" customHeight="true" outlineLevel="0" collapsed="false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4" t="str">
        <f aca="true">IF(I155="Pago","✓ OK",IF(H155="","",IF(H155&lt;TODAY(),"🔴 VENCIDA",IF(H155-TODAY()&lt;=7,"🟡 ATENÇÃO","🟢 OK"))))</f>
        <v/>
      </c>
      <c r="L155" s="25" t="str">
        <f aca="true">IF(H155="","",H155-TODAY())</f>
        <v/>
      </c>
    </row>
    <row r="156" customFormat="false" ht="15" hidden="false" customHeight="true" outlineLevel="0" collapsed="false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4" t="str">
        <f aca="true">IF(I156="Pago","✓ OK",IF(H156="","",IF(H156&lt;TODAY(),"🔴 VENCIDA",IF(H156-TODAY()&lt;=7,"🟡 ATENÇÃO","🟢 OK"))))</f>
        <v/>
      </c>
      <c r="L156" s="25" t="str">
        <f aca="true">IF(H156="","",H156-TODAY())</f>
        <v/>
      </c>
    </row>
    <row r="157" customFormat="false" ht="15" hidden="false" customHeight="true" outlineLevel="0" collapsed="false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4" t="str">
        <f aca="true">IF(I157="Pago","✓ OK",IF(H157="","",IF(H157&lt;TODAY(),"🔴 VENCIDA",IF(H157-TODAY()&lt;=7,"🟡 ATENÇÃO","🟢 OK"))))</f>
        <v/>
      </c>
      <c r="L157" s="25" t="str">
        <f aca="true">IF(H157="","",H157-TODAY())</f>
        <v/>
      </c>
    </row>
    <row r="158" customFormat="false" ht="15" hidden="false" customHeight="true" outlineLevel="0" collapsed="false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4" t="str">
        <f aca="true">IF(I158="Pago","✓ OK",IF(H158="","",IF(H158&lt;TODAY(),"🔴 VENCIDA",IF(H158-TODAY()&lt;=7,"🟡 ATENÇÃO","🟢 OK"))))</f>
        <v/>
      </c>
      <c r="L158" s="25" t="str">
        <f aca="true">IF(H158="","",H158-TODAY())</f>
        <v/>
      </c>
    </row>
    <row r="159" customFormat="false" ht="15" hidden="false" customHeight="true" outlineLevel="0" collapsed="false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4" t="str">
        <f aca="true">IF(I159="Pago","✓ OK",IF(H159="","",IF(H159&lt;TODAY(),"🔴 VENCIDA",IF(H159-TODAY()&lt;=7,"🟡 ATENÇÃO","🟢 OK"))))</f>
        <v/>
      </c>
      <c r="L159" s="25" t="str">
        <f aca="true">IF(H159="","",H159-TODAY())</f>
        <v/>
      </c>
    </row>
    <row r="160" customFormat="false" ht="15" hidden="false" customHeight="true" outlineLevel="0" collapsed="false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4" t="str">
        <f aca="true">IF(I160="Pago","✓ OK",IF(H160="","",IF(H160&lt;TODAY(),"🔴 VENCIDA",IF(H160-TODAY()&lt;=7,"🟡 ATENÇÃO","🟢 OK"))))</f>
        <v/>
      </c>
      <c r="L160" s="25" t="str">
        <f aca="true">IF(H160="","",H160-TODAY())</f>
        <v/>
      </c>
    </row>
    <row r="161" customFormat="false" ht="15" hidden="false" customHeight="true" outlineLevel="0" collapsed="false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4" t="str">
        <f aca="true">IF(I161="Pago","✓ OK",IF(H161="","",IF(H161&lt;TODAY(),"🔴 VENCIDA",IF(H161-TODAY()&lt;=7,"🟡 ATENÇÃO","🟢 OK"))))</f>
        <v/>
      </c>
      <c r="L161" s="25" t="str">
        <f aca="true">IF(H161="","",H161-TODAY())</f>
        <v/>
      </c>
    </row>
    <row r="162" customFormat="false" ht="15" hidden="false" customHeight="true" outlineLevel="0" collapsed="false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4" t="str">
        <f aca="true">IF(I162="Pago","✓ OK",IF(H162="","",IF(H162&lt;TODAY(),"🔴 VENCIDA",IF(H162-TODAY()&lt;=7,"🟡 ATENÇÃO","🟢 OK"))))</f>
        <v/>
      </c>
      <c r="L162" s="25" t="str">
        <f aca="true">IF(H162="","",H162-TODAY())</f>
        <v/>
      </c>
    </row>
    <row r="163" customFormat="false" ht="15" hidden="false" customHeight="true" outlineLevel="0" collapsed="false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4" t="str">
        <f aca="true">IF(I163="Pago","✓ OK",IF(H163="","",IF(H163&lt;TODAY(),"🔴 VENCIDA",IF(H163-TODAY()&lt;=7,"🟡 ATENÇÃO","🟢 OK"))))</f>
        <v/>
      </c>
      <c r="L163" s="25" t="str">
        <f aca="true">IF(H163="","",H163-TODAY())</f>
        <v/>
      </c>
    </row>
    <row r="164" customFormat="false" ht="15" hidden="false" customHeight="true" outlineLevel="0" collapsed="false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4" t="str">
        <f aca="true">IF(I164="Pago","✓ OK",IF(H164="","",IF(H164&lt;TODAY(),"🔴 VENCIDA",IF(H164-TODAY()&lt;=7,"🟡 ATENÇÃO","🟢 OK"))))</f>
        <v/>
      </c>
      <c r="L164" s="25" t="str">
        <f aca="true">IF(H164="","",H164-TODAY())</f>
        <v/>
      </c>
    </row>
    <row r="165" customFormat="false" ht="15" hidden="false" customHeight="true" outlineLevel="0" collapsed="false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4" t="str">
        <f aca="true">IF(I165="Pago","✓ OK",IF(H165="","",IF(H165&lt;TODAY(),"🔴 VENCIDA",IF(H165-TODAY()&lt;=7,"🟡 ATENÇÃO","🟢 OK"))))</f>
        <v/>
      </c>
      <c r="L165" s="25" t="str">
        <f aca="true">IF(H165="","",H165-TODAY())</f>
        <v/>
      </c>
    </row>
    <row r="166" customFormat="false" ht="15" hidden="false" customHeight="true" outlineLevel="0" collapsed="false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4" t="str">
        <f aca="true">IF(I166="Pago","✓ OK",IF(H166="","",IF(H166&lt;TODAY(),"🔴 VENCIDA",IF(H166-TODAY()&lt;=7,"🟡 ATENÇÃO","🟢 OK"))))</f>
        <v/>
      </c>
      <c r="L166" s="25" t="str">
        <f aca="true">IF(H166="","",H166-TODAY())</f>
        <v/>
      </c>
    </row>
    <row r="167" customFormat="false" ht="15" hidden="false" customHeight="true" outlineLevel="0" collapsed="false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4" t="str">
        <f aca="true">IF(I167="Pago","✓ OK",IF(H167="","",IF(H167&lt;TODAY(),"🔴 VENCIDA",IF(H167-TODAY()&lt;=7,"🟡 ATENÇÃO","🟢 OK"))))</f>
        <v/>
      </c>
      <c r="L167" s="25" t="str">
        <f aca="true">IF(H167="","",H167-TODAY())</f>
        <v/>
      </c>
    </row>
    <row r="168" customFormat="false" ht="15" hidden="false" customHeight="true" outlineLevel="0" collapsed="false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4" t="str">
        <f aca="true">IF(I168="Pago","✓ OK",IF(H168="","",IF(H168&lt;TODAY(),"🔴 VENCIDA",IF(H168-TODAY()&lt;=7,"🟡 ATENÇÃO","🟢 OK"))))</f>
        <v/>
      </c>
      <c r="L168" s="25" t="str">
        <f aca="true">IF(H168="","",H168-TODAY())</f>
        <v/>
      </c>
    </row>
    <row r="169" customFormat="false" ht="15" hidden="false" customHeight="true" outlineLevel="0" collapsed="false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4" t="str">
        <f aca="true">IF(I169="Pago","✓ OK",IF(H169="","",IF(H169&lt;TODAY(),"🔴 VENCIDA",IF(H169-TODAY()&lt;=7,"🟡 ATENÇÃO","🟢 OK"))))</f>
        <v/>
      </c>
      <c r="L169" s="25" t="str">
        <f aca="true">IF(H169="","",H169-TODAY())</f>
        <v/>
      </c>
    </row>
    <row r="170" customFormat="false" ht="15" hidden="false" customHeight="true" outlineLevel="0" collapsed="false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4" t="str">
        <f aca="true">IF(I170="Pago","✓ OK",IF(H170="","",IF(H170&lt;TODAY(),"🔴 VENCIDA",IF(H170-TODAY()&lt;=7,"🟡 ATENÇÃO","🟢 OK"))))</f>
        <v/>
      </c>
      <c r="L170" s="25" t="str">
        <f aca="true">IF(H170="","",H170-TODAY())</f>
        <v/>
      </c>
    </row>
    <row r="171" customFormat="false" ht="15" hidden="false" customHeight="true" outlineLevel="0" collapsed="false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4" t="str">
        <f aca="true">IF(I171="Pago","✓ OK",IF(H171="","",IF(H171&lt;TODAY(),"🔴 VENCIDA",IF(H171-TODAY()&lt;=7,"🟡 ATENÇÃO","🟢 OK"))))</f>
        <v/>
      </c>
      <c r="L171" s="25" t="str">
        <f aca="true">IF(H171="","",H171-TODAY())</f>
        <v/>
      </c>
    </row>
    <row r="172" customFormat="false" ht="15" hidden="false" customHeight="true" outlineLevel="0" collapsed="false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4" t="str">
        <f aca="true">IF(I172="Pago","✓ OK",IF(H172="","",IF(H172&lt;TODAY(),"🔴 VENCIDA",IF(H172-TODAY()&lt;=7,"🟡 ATENÇÃO","🟢 OK"))))</f>
        <v/>
      </c>
      <c r="L172" s="25" t="str">
        <f aca="true">IF(H172="","",H172-TODAY())</f>
        <v/>
      </c>
    </row>
    <row r="173" customFormat="false" ht="15" hidden="false" customHeight="true" outlineLevel="0" collapsed="false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4" t="str">
        <f aca="true">IF(I173="Pago","✓ OK",IF(H173="","",IF(H173&lt;TODAY(),"🔴 VENCIDA",IF(H173-TODAY()&lt;=7,"🟡 ATENÇÃO","🟢 OK"))))</f>
        <v/>
      </c>
      <c r="L173" s="25" t="str">
        <f aca="true">IF(H173="","",H173-TODAY())</f>
        <v/>
      </c>
    </row>
    <row r="174" customFormat="false" ht="15" hidden="false" customHeight="true" outlineLevel="0" collapsed="false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4" t="str">
        <f aca="true">IF(I174="Pago","✓ OK",IF(H174="","",IF(H174&lt;TODAY(),"🔴 VENCIDA",IF(H174-TODAY()&lt;=7,"🟡 ATENÇÃO","🟢 OK"))))</f>
        <v/>
      </c>
      <c r="L174" s="25" t="str">
        <f aca="true">IF(H174="","",H174-TODAY())</f>
        <v/>
      </c>
    </row>
    <row r="175" customFormat="false" ht="15" hidden="false" customHeight="true" outlineLevel="0" collapsed="false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4" t="str">
        <f aca="true">IF(I175="Pago","✓ OK",IF(H175="","",IF(H175&lt;TODAY(),"🔴 VENCIDA",IF(H175-TODAY()&lt;=7,"🟡 ATENÇÃO","🟢 OK"))))</f>
        <v/>
      </c>
      <c r="L175" s="25" t="str">
        <f aca="true">IF(H175="","",H175-TODAY())</f>
        <v/>
      </c>
    </row>
    <row r="176" customFormat="false" ht="15" hidden="false" customHeight="true" outlineLevel="0" collapsed="false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4" t="str">
        <f aca="true">IF(I176="Pago","✓ OK",IF(H176="","",IF(H176&lt;TODAY(),"🔴 VENCIDA",IF(H176-TODAY()&lt;=7,"🟡 ATENÇÃO","🟢 OK"))))</f>
        <v/>
      </c>
      <c r="L176" s="25" t="str">
        <f aca="true">IF(H176="","",H176-TODAY())</f>
        <v/>
      </c>
    </row>
    <row r="177" customFormat="false" ht="15" hidden="false" customHeight="true" outlineLevel="0" collapsed="false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4" t="str">
        <f aca="true">IF(I177="Pago","✓ OK",IF(H177="","",IF(H177&lt;TODAY(),"🔴 VENCIDA",IF(H177-TODAY()&lt;=7,"🟡 ATENÇÃO","🟢 OK"))))</f>
        <v/>
      </c>
      <c r="L177" s="25" t="str">
        <f aca="true">IF(H177="","",H177-TODAY())</f>
        <v/>
      </c>
    </row>
    <row r="178" customFormat="false" ht="15" hidden="false" customHeight="true" outlineLevel="0" collapsed="false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4" t="str">
        <f aca="true">IF(I178="Pago","✓ OK",IF(H178="","",IF(H178&lt;TODAY(),"🔴 VENCIDA",IF(H178-TODAY()&lt;=7,"🟡 ATENÇÃO","🟢 OK"))))</f>
        <v/>
      </c>
      <c r="L178" s="25" t="str">
        <f aca="true">IF(H178="","",H178-TODAY())</f>
        <v/>
      </c>
    </row>
    <row r="179" customFormat="false" ht="15" hidden="false" customHeight="true" outlineLevel="0" collapsed="false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4" t="str">
        <f aca="true">IF(I179="Pago","✓ OK",IF(H179="","",IF(H179&lt;TODAY(),"🔴 VENCIDA",IF(H179-TODAY()&lt;=7,"🟡 ATENÇÃO","🟢 OK"))))</f>
        <v/>
      </c>
      <c r="L179" s="25" t="str">
        <f aca="true">IF(H179="","",H179-TODAY())</f>
        <v/>
      </c>
    </row>
    <row r="180" customFormat="false" ht="15" hidden="false" customHeight="true" outlineLevel="0" collapsed="false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4" t="str">
        <f aca="true">IF(I180="Pago","✓ OK",IF(H180="","",IF(H180&lt;TODAY(),"🔴 VENCIDA",IF(H180-TODAY()&lt;=7,"🟡 ATENÇÃO","🟢 OK"))))</f>
        <v/>
      </c>
      <c r="L180" s="25" t="str">
        <f aca="true">IF(H180="","",H180-TODAY())</f>
        <v/>
      </c>
    </row>
    <row r="181" customFormat="false" ht="15" hidden="false" customHeight="true" outlineLevel="0" collapsed="false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4" t="str">
        <f aca="true">IF(I181="Pago","✓ OK",IF(H181="","",IF(H181&lt;TODAY(),"🔴 VENCIDA",IF(H181-TODAY()&lt;=7,"🟡 ATENÇÃO","🟢 OK"))))</f>
        <v/>
      </c>
      <c r="L181" s="25" t="str">
        <f aca="true">IF(H181="","",H181-TODAY())</f>
        <v/>
      </c>
    </row>
    <row r="182" customFormat="false" ht="15" hidden="false" customHeight="true" outlineLevel="0" collapsed="false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4" t="str">
        <f aca="true">IF(I182="Pago","✓ OK",IF(H182="","",IF(H182&lt;TODAY(),"🔴 VENCIDA",IF(H182-TODAY()&lt;=7,"🟡 ATENÇÃO","🟢 OK"))))</f>
        <v/>
      </c>
      <c r="L182" s="25" t="str">
        <f aca="true">IF(H182="","",H182-TODAY())</f>
        <v/>
      </c>
    </row>
    <row r="183" customFormat="false" ht="15" hidden="false" customHeight="true" outlineLevel="0" collapsed="false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4" t="str">
        <f aca="true">IF(I183="Pago","✓ OK",IF(H183="","",IF(H183&lt;TODAY(),"🔴 VENCIDA",IF(H183-TODAY()&lt;=7,"🟡 ATENÇÃO","🟢 OK"))))</f>
        <v/>
      </c>
      <c r="L183" s="25" t="str">
        <f aca="true">IF(H183="","",H183-TODAY())</f>
        <v/>
      </c>
    </row>
    <row r="184" customFormat="false" ht="15" hidden="false" customHeight="true" outlineLevel="0" collapsed="false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4" t="str">
        <f aca="true">IF(I184="Pago","✓ OK",IF(H184="","",IF(H184&lt;TODAY(),"🔴 VENCIDA",IF(H184-TODAY()&lt;=7,"🟡 ATENÇÃO","🟢 OK"))))</f>
        <v/>
      </c>
      <c r="L184" s="25" t="str">
        <f aca="true">IF(H184="","",H184-TODAY())</f>
        <v/>
      </c>
    </row>
    <row r="185" customFormat="false" ht="15" hidden="false" customHeight="true" outlineLevel="0" collapsed="false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4" t="str">
        <f aca="true">IF(I185="Pago","✓ OK",IF(H185="","",IF(H185&lt;TODAY(),"🔴 VENCIDA",IF(H185-TODAY()&lt;=7,"🟡 ATENÇÃO","🟢 OK"))))</f>
        <v/>
      </c>
      <c r="L185" s="25" t="str">
        <f aca="true">IF(H185="","",H185-TODAY())</f>
        <v/>
      </c>
    </row>
    <row r="186" customFormat="false" ht="15" hidden="false" customHeight="true" outlineLevel="0" collapsed="false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4" t="str">
        <f aca="true">IF(I186="Pago","✓ OK",IF(H186="","",IF(H186&lt;TODAY(),"🔴 VENCIDA",IF(H186-TODAY()&lt;=7,"🟡 ATENÇÃO","🟢 OK"))))</f>
        <v/>
      </c>
      <c r="L186" s="25" t="str">
        <f aca="true">IF(H186="","",H186-TODAY())</f>
        <v/>
      </c>
    </row>
    <row r="187" customFormat="false" ht="15" hidden="false" customHeight="true" outlineLevel="0" collapsed="false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4" t="str">
        <f aca="true">IF(I187="Pago","✓ OK",IF(H187="","",IF(H187&lt;TODAY(),"🔴 VENCIDA",IF(H187-TODAY()&lt;=7,"🟡 ATENÇÃO","🟢 OK"))))</f>
        <v/>
      </c>
      <c r="L187" s="25" t="str">
        <f aca="true">IF(H187="","",H187-TODAY())</f>
        <v/>
      </c>
    </row>
    <row r="188" customFormat="false" ht="15" hidden="false" customHeight="true" outlineLevel="0" collapsed="false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4" t="str">
        <f aca="true">IF(I188="Pago","✓ OK",IF(H188="","",IF(H188&lt;TODAY(),"🔴 VENCIDA",IF(H188-TODAY()&lt;=7,"🟡 ATENÇÃO","🟢 OK"))))</f>
        <v/>
      </c>
      <c r="L188" s="25" t="str">
        <f aca="true">IF(H188="","",H188-TODAY())</f>
        <v/>
      </c>
    </row>
    <row r="189" customFormat="false" ht="15" hidden="false" customHeight="true" outlineLevel="0" collapsed="false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4" t="str">
        <f aca="true">IF(I189="Pago","✓ OK",IF(H189="","",IF(H189&lt;TODAY(),"🔴 VENCIDA",IF(H189-TODAY()&lt;=7,"🟡 ATENÇÃO","🟢 OK"))))</f>
        <v/>
      </c>
      <c r="L189" s="25" t="str">
        <f aca="true">IF(H189="","",H189-TODAY())</f>
        <v/>
      </c>
    </row>
    <row r="190" customFormat="false" ht="15" hidden="false" customHeight="true" outlineLevel="0" collapsed="false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4" t="str">
        <f aca="true">IF(I190="Pago","✓ OK",IF(H190="","",IF(H190&lt;TODAY(),"🔴 VENCIDA",IF(H190-TODAY()&lt;=7,"🟡 ATENÇÃO","🟢 OK"))))</f>
        <v/>
      </c>
      <c r="L190" s="25" t="str">
        <f aca="true">IF(H190="","",H190-TODAY())</f>
        <v/>
      </c>
    </row>
    <row r="191" customFormat="false" ht="15" hidden="false" customHeight="true" outlineLevel="0" collapsed="false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4" t="str">
        <f aca="true">IF(I191="Pago","✓ OK",IF(H191="","",IF(H191&lt;TODAY(),"🔴 VENCIDA",IF(H191-TODAY()&lt;=7,"🟡 ATENÇÃO","🟢 OK"))))</f>
        <v/>
      </c>
      <c r="L191" s="25" t="str">
        <f aca="true">IF(H191="","",H191-TODAY())</f>
        <v/>
      </c>
    </row>
    <row r="192" customFormat="false" ht="15" hidden="false" customHeight="true" outlineLevel="0" collapsed="false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4" t="str">
        <f aca="true">IF(I192="Pago","✓ OK",IF(H192="","",IF(H192&lt;TODAY(),"🔴 VENCIDA",IF(H192-TODAY()&lt;=7,"🟡 ATENÇÃO","🟢 OK"))))</f>
        <v/>
      </c>
      <c r="L192" s="25" t="str">
        <f aca="true">IF(H192="","",H192-TODAY())</f>
        <v/>
      </c>
    </row>
    <row r="193" customFormat="false" ht="15" hidden="false" customHeight="true" outlineLevel="0" collapsed="false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4" t="str">
        <f aca="true">IF(I193="Pago","✓ OK",IF(H193="","",IF(H193&lt;TODAY(),"🔴 VENCIDA",IF(H193-TODAY()&lt;=7,"🟡 ATENÇÃO","🟢 OK"))))</f>
        <v/>
      </c>
      <c r="L193" s="25" t="str">
        <f aca="true">IF(H193="","",H193-TODAY())</f>
        <v/>
      </c>
    </row>
    <row r="194" customFormat="false" ht="15" hidden="false" customHeight="true" outlineLevel="0" collapsed="false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4" t="str">
        <f aca="true">IF(I194="Pago","✓ OK",IF(H194="","",IF(H194&lt;TODAY(),"🔴 VENCIDA",IF(H194-TODAY()&lt;=7,"🟡 ATENÇÃO","🟢 OK"))))</f>
        <v/>
      </c>
      <c r="L194" s="25" t="str">
        <f aca="true">IF(H194="","",H194-TODAY())</f>
        <v/>
      </c>
    </row>
    <row r="195" customFormat="false" ht="15" hidden="false" customHeight="true" outlineLevel="0" collapsed="false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4" t="str">
        <f aca="true">IF(I195="Pago","✓ OK",IF(H195="","",IF(H195&lt;TODAY(),"🔴 VENCIDA",IF(H195-TODAY()&lt;=7,"🟡 ATENÇÃO","🟢 OK"))))</f>
        <v/>
      </c>
      <c r="L195" s="25" t="str">
        <f aca="true">IF(H195="","",H195-TODAY())</f>
        <v/>
      </c>
    </row>
    <row r="196" customFormat="false" ht="15" hidden="false" customHeight="true" outlineLevel="0" collapsed="false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4" t="str">
        <f aca="true">IF(I196="Pago","✓ OK",IF(H196="","",IF(H196&lt;TODAY(),"🔴 VENCIDA",IF(H196-TODAY()&lt;=7,"🟡 ATENÇÃO","🟢 OK"))))</f>
        <v/>
      </c>
      <c r="L196" s="25" t="str">
        <f aca="true">IF(H196="","",H196-TODAY())</f>
        <v/>
      </c>
    </row>
    <row r="197" customFormat="false" ht="15" hidden="false" customHeight="true" outlineLevel="0" collapsed="false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4" t="str">
        <f aca="true">IF(I197="Pago","✓ OK",IF(H197="","",IF(H197&lt;TODAY(),"🔴 VENCIDA",IF(H197-TODAY()&lt;=7,"🟡 ATENÇÃO","🟢 OK"))))</f>
        <v/>
      </c>
      <c r="L197" s="25" t="str">
        <f aca="true">IF(H197="","",H197-TODAY())</f>
        <v/>
      </c>
    </row>
    <row r="198" customFormat="false" ht="15" hidden="false" customHeight="true" outlineLevel="0" collapsed="false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4" t="str">
        <f aca="true">IF(I198="Pago","✓ OK",IF(H198="","",IF(H198&lt;TODAY(),"🔴 VENCIDA",IF(H198-TODAY()&lt;=7,"🟡 ATENÇÃO","🟢 OK"))))</f>
        <v/>
      </c>
      <c r="L198" s="25" t="str">
        <f aca="true">IF(H198="","",H198-TODAY())</f>
        <v/>
      </c>
    </row>
    <row r="199" customFormat="false" ht="15" hidden="false" customHeight="true" outlineLevel="0" collapsed="false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4" t="str">
        <f aca="true">IF(I199="Pago","✓ OK",IF(H199="","",IF(H199&lt;TODAY(),"🔴 VENCIDA",IF(H199-TODAY()&lt;=7,"🟡 ATENÇÃO","🟢 OK"))))</f>
        <v/>
      </c>
      <c r="L199" s="25" t="str">
        <f aca="true">IF(H199="","",H199-TODAY())</f>
        <v/>
      </c>
    </row>
    <row r="200" customFormat="false" ht="15" hidden="false" customHeight="true" outlineLevel="0" collapsed="false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4" t="str">
        <f aca="true">IF(I200="Pago","✓ OK",IF(H200="","",IF(H200&lt;TODAY(),"🔴 VENCIDA",IF(H200-TODAY()&lt;=7,"🟡 ATENÇÃO","🟢 OK"))))</f>
        <v/>
      </c>
      <c r="L200" s="25" t="str">
        <f aca="true">IF(H200="","",H200-TODAY())</f>
        <v/>
      </c>
    </row>
    <row r="201" customFormat="false" ht="15" hidden="false" customHeight="true" outlineLevel="0" collapsed="false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4" t="str">
        <f aca="true">IF(I201="Pago","✓ OK",IF(H201="","",IF(H201&lt;TODAY(),"🔴 VENCIDA",IF(H201-TODAY()&lt;=7,"🟡 ATENÇÃO","🟢 OK"))))</f>
        <v/>
      </c>
      <c r="L201" s="25" t="str">
        <f aca="true">IF(H201="","",H201-TODAY())</f>
        <v/>
      </c>
    </row>
    <row r="202" customFormat="false" ht="15" hidden="false" customHeight="true" outlineLevel="0" collapsed="false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4" t="str">
        <f aca="true">IF(I202="Pago","✓ OK",IF(H202="","",IF(H202&lt;TODAY(),"🔴 VENCIDA",IF(H202-TODAY()&lt;=7,"🟡 ATENÇÃO","🟢 OK"))))</f>
        <v/>
      </c>
      <c r="L202" s="25" t="str">
        <f aca="true">IF(H202="","",H202-TODAY())</f>
        <v/>
      </c>
    </row>
    <row r="203" customFormat="false" ht="15" hidden="false" customHeight="true" outlineLevel="0" collapsed="false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4" t="str">
        <f aca="true">IF(I203="Pago","✓ OK",IF(H203="","",IF(H203&lt;TODAY(),"🔴 VENCIDA",IF(H203-TODAY()&lt;=7,"🟡 ATENÇÃO","🟢 OK"))))</f>
        <v/>
      </c>
      <c r="L203" s="25" t="str">
        <f aca="true">IF(H203="","",H203-TODAY())</f>
        <v/>
      </c>
    </row>
    <row r="204" customFormat="false" ht="15" hidden="false" customHeight="true" outlineLevel="0" collapsed="false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4" t="str">
        <f aca="true">IF(I204="Pago","✓ OK",IF(H204="","",IF(H204&lt;TODAY(),"🔴 VENCIDA",IF(H204-TODAY()&lt;=7,"🟡 ATENÇÃO","🟢 OK"))))</f>
        <v/>
      </c>
      <c r="L204" s="25" t="str">
        <f aca="true">IF(H204="","",H204-TODAY())</f>
        <v/>
      </c>
    </row>
  </sheetData>
  <mergeCells count="2">
    <mergeCell ref="A1:L1"/>
    <mergeCell ref="A2:L2"/>
  </mergeCells>
  <conditionalFormatting sqref="K5:K205">
    <cfRule type="expression" priority="2" aboveAverage="0" equalAverage="0" bottom="0" percent="0" rank="0" text="" dxfId="0">
      <formula>ISNUMBER(SEARCH("VENCIDA",K5))</formula>
    </cfRule>
    <cfRule type="expression" priority="3" aboveAverage="0" equalAverage="0" bottom="0" percent="0" rank="0" text="" dxfId="1">
      <formula>ISNUMBER(SEARCH("ATENÇÃO",K5))</formula>
    </cfRule>
    <cfRule type="expression" priority="4" aboveAverage="0" equalAverage="0" bottom="0" percent="0" rank="0" text="" dxfId="2">
      <formula>ISNUMBER(SEARCH("OK",K5))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16"/>
    <col collapsed="false" customWidth="true" hidden="false" outlineLevel="0" max="11" min="11" style="1" width="12"/>
    <col collapsed="false" customWidth="true" hidden="false" outlineLevel="0" max="12" min="12" style="1" width="14"/>
  </cols>
  <sheetData>
    <row r="1" customFormat="false" ht="27.75" hidden="false" customHeight="true" outlineLevel="0" collapsed="false">
      <c r="A1" s="14" t="s">
        <v>89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5" hidden="false" customHeight="true" outlineLevel="0" collapsed="false">
      <c r="A2" s="15" t="s">
        <v>90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customFormat="false" ht="15" hidden="false" customHeight="true" outlineLevel="0" collapsed="false">
      <c r="E3" s="16" t="s">
        <v>91</v>
      </c>
      <c r="F3" s="27" t="n">
        <f aca="false">SUMIFS(F5:F205,H5:H205,"Pendente")</f>
        <v>42400</v>
      </c>
    </row>
    <row r="4" customFormat="false" ht="24" hidden="false" customHeight="true" outlineLevel="0" collapsed="false">
      <c r="A4" s="18" t="s">
        <v>92</v>
      </c>
      <c r="B4" s="18" t="s">
        <v>93</v>
      </c>
      <c r="C4" s="18" t="s">
        <v>94</v>
      </c>
      <c r="D4" s="18" t="s">
        <v>27</v>
      </c>
      <c r="E4" s="18" t="s">
        <v>29</v>
      </c>
      <c r="F4" s="18" t="s">
        <v>30</v>
      </c>
      <c r="G4" s="18" t="s">
        <v>32</v>
      </c>
      <c r="H4" s="18" t="s">
        <v>33</v>
      </c>
      <c r="I4" s="18" t="s">
        <v>95</v>
      </c>
      <c r="J4" s="18" t="s">
        <v>96</v>
      </c>
      <c r="K4" s="18" t="s">
        <v>35</v>
      </c>
      <c r="L4" s="18" t="s">
        <v>36</v>
      </c>
    </row>
    <row r="5" customFormat="false" ht="15" hidden="false" customHeight="true" outlineLevel="0" collapsed="false">
      <c r="A5" s="19" t="s">
        <v>97</v>
      </c>
      <c r="B5" s="20" t="s">
        <v>98</v>
      </c>
      <c r="C5" s="20" t="s">
        <v>99</v>
      </c>
      <c r="D5" s="20" t="s">
        <v>100</v>
      </c>
      <c r="E5" s="20" t="s">
        <v>101</v>
      </c>
      <c r="F5" s="21" t="n">
        <v>8500</v>
      </c>
      <c r="G5" s="22" t="s">
        <v>64</v>
      </c>
      <c r="H5" s="23" t="s">
        <v>43</v>
      </c>
      <c r="I5" s="22"/>
      <c r="J5" s="23" t="s">
        <v>102</v>
      </c>
      <c r="K5" s="24" t="str">
        <f aca="true">IF(H5="Pago","✓ OK",IF(G5="","",IF(G5&lt;TODAY(),"🔴 VENCIDA",IF(G5-TODAY()&lt;=7,"🟡 ATENÇÃO","🟢 OK"))))</f>
        <v>🟡 ATENÇÃO</v>
      </c>
      <c r="L5" s="25" t="n">
        <f aca="true">IF(G5="","",G5-TODAY())</f>
        <v>0</v>
      </c>
    </row>
    <row r="6" customFormat="false" ht="23.25" hidden="false" customHeight="true" outlineLevel="0" collapsed="false">
      <c r="A6" s="19" t="s">
        <v>78</v>
      </c>
      <c r="B6" s="20" t="s">
        <v>103</v>
      </c>
      <c r="C6" s="20" t="s">
        <v>104</v>
      </c>
      <c r="D6" s="20" t="s">
        <v>105</v>
      </c>
      <c r="E6" s="20" t="s">
        <v>106</v>
      </c>
      <c r="F6" s="21" t="n">
        <v>12400</v>
      </c>
      <c r="G6" s="22" t="s">
        <v>58</v>
      </c>
      <c r="H6" s="23" t="s">
        <v>43</v>
      </c>
      <c r="I6" s="22"/>
      <c r="J6" s="23" t="s">
        <v>102</v>
      </c>
      <c r="K6" s="24" t="str">
        <f aca="true">IF(H6="Pago","✓ OK",IF(G6="","",IF(G6&lt;TODAY(),"🔴 VENCIDA",IF(G6-TODAY()&lt;=7,"🟡 ATENÇÃO","🟢 OK"))))</f>
        <v>🟡 ATENÇÃO</v>
      </c>
      <c r="L6" s="25" t="n">
        <f aca="true">IF(G6="","",G6-TODAY())</f>
        <v>5</v>
      </c>
    </row>
    <row r="7" customFormat="false" ht="15" hidden="false" customHeight="true" outlineLevel="0" collapsed="false">
      <c r="A7" s="19" t="s">
        <v>107</v>
      </c>
      <c r="B7" s="20" t="s">
        <v>108</v>
      </c>
      <c r="C7" s="20" t="s">
        <v>109</v>
      </c>
      <c r="D7" s="20" t="s">
        <v>110</v>
      </c>
      <c r="E7" s="20" t="s">
        <v>111</v>
      </c>
      <c r="F7" s="21" t="n">
        <v>6800</v>
      </c>
      <c r="G7" s="22" t="s">
        <v>112</v>
      </c>
      <c r="H7" s="23" t="s">
        <v>48</v>
      </c>
      <c r="I7" s="22" t="s">
        <v>113</v>
      </c>
      <c r="J7" s="23" t="s">
        <v>102</v>
      </c>
      <c r="K7" s="24" t="str">
        <f aca="true">IF(H7="Pago","✓ OK",IF(G7="","",IF(G7&lt;TODAY(),"🔴 VENCIDA",IF(G7-TODAY()&lt;=7,"🟡 ATENÇÃO","🟢 OK"))))</f>
        <v>✓ OK</v>
      </c>
      <c r="L7" s="25" t="n">
        <f aca="true">IF(G7="","",G7-TODAY())</f>
        <v>-35</v>
      </c>
    </row>
    <row r="8" customFormat="false" ht="23.25" hidden="false" customHeight="true" outlineLevel="0" collapsed="false">
      <c r="A8" s="19" t="s">
        <v>114</v>
      </c>
      <c r="B8" s="20" t="s">
        <v>115</v>
      </c>
      <c r="C8" s="20" t="s">
        <v>116</v>
      </c>
      <c r="D8" s="20" t="s">
        <v>117</v>
      </c>
      <c r="E8" s="20" t="s">
        <v>118</v>
      </c>
      <c r="F8" s="21" t="n">
        <v>21500</v>
      </c>
      <c r="G8" s="22" t="s">
        <v>63</v>
      </c>
      <c r="H8" s="23" t="s">
        <v>43</v>
      </c>
      <c r="I8" s="22"/>
      <c r="J8" s="23" t="s">
        <v>102</v>
      </c>
      <c r="K8" s="24" t="str">
        <f aca="true">IF(H8="Pago","✓ OK",IF(G8="","",IF(G8&lt;TODAY(),"🔴 VENCIDA",IF(G8-TODAY()&lt;=7,"🟡 ATENÇÃO","🟢 OK"))))</f>
        <v>🟢 OK</v>
      </c>
      <c r="L8" s="25" t="n">
        <f aca="true">IF(G8="","",G8-TODAY())</f>
        <v>10</v>
      </c>
    </row>
    <row r="9" customFormat="false" ht="15" hidden="false" customHeight="true" outlineLevel="0" collapsed="false">
      <c r="A9" s="19" t="s">
        <v>119</v>
      </c>
      <c r="B9" s="20" t="s">
        <v>120</v>
      </c>
      <c r="C9" s="20" t="s">
        <v>121</v>
      </c>
      <c r="D9" s="20" t="s">
        <v>100</v>
      </c>
      <c r="E9" s="20" t="s">
        <v>122</v>
      </c>
      <c r="F9" s="21" t="n">
        <v>3200</v>
      </c>
      <c r="G9" s="22" t="s">
        <v>64</v>
      </c>
      <c r="H9" s="23" t="s">
        <v>48</v>
      </c>
      <c r="I9" s="22" t="s">
        <v>123</v>
      </c>
      <c r="J9" s="23" t="s">
        <v>102</v>
      </c>
      <c r="K9" s="24" t="str">
        <f aca="true">IF(H9="Pago","✓ OK",IF(G9="","",IF(G9&lt;TODAY(),"🔴 VENCIDA",IF(G9-TODAY()&lt;=7,"🟡 ATENÇÃO","🟢 OK"))))</f>
        <v>✓ OK</v>
      </c>
      <c r="L9" s="25" t="n">
        <f aca="true">IF(G9="","",G9-TODAY())</f>
        <v>0</v>
      </c>
    </row>
    <row r="10" customFormat="false" ht="15" hidden="false" customHeight="true" outlineLevel="0" collapsed="false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4" t="str">
        <f aca="true">IF(H10="Pago","✓ OK",IF(G10="","",IF(G10&lt;TODAY(),"🔴 VENCIDA",IF(G10-TODAY()&lt;=7,"🟡 ATENÇÃO","🟢 OK"))))</f>
        <v/>
      </c>
      <c r="L10" s="25" t="str">
        <f aca="true">IF(G10="","",G10-TODAY())</f>
        <v/>
      </c>
    </row>
    <row r="11" customFormat="false" ht="1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4" t="str">
        <f aca="true">IF(H11="Pago","✓ OK",IF(G11="","",IF(G11&lt;TODAY(),"🔴 VENCIDA",IF(G11-TODAY()&lt;=7,"🟡 ATENÇÃO","🟢 OK"))))</f>
        <v/>
      </c>
      <c r="L11" s="25" t="str">
        <f aca="true">IF(G11="","",G11-TODAY())</f>
        <v/>
      </c>
    </row>
    <row r="12" customFormat="false" ht="15" hidden="false" customHeight="true" outlineLevel="0" collapsed="false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4" t="str">
        <f aca="true">IF(H12="Pago","✓ OK",IF(G12="","",IF(G12&lt;TODAY(),"🔴 VENCIDA",IF(G12-TODAY()&lt;=7,"🟡 ATENÇÃO","🟢 OK"))))</f>
        <v/>
      </c>
      <c r="L12" s="25" t="str">
        <f aca="true">IF(G12="","",G12-TODAY())</f>
        <v/>
      </c>
    </row>
    <row r="13" customFormat="false" ht="15" hidden="false" customHeight="true" outlineLevel="0" collapsed="false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4" t="str">
        <f aca="true">IF(H13="Pago","✓ OK",IF(G13="","",IF(G13&lt;TODAY(),"🔴 VENCIDA",IF(G13-TODAY()&lt;=7,"🟡 ATENÇÃO","🟢 OK"))))</f>
        <v/>
      </c>
      <c r="L13" s="25" t="str">
        <f aca="true">IF(G13="","",G13-TODAY())</f>
        <v/>
      </c>
    </row>
    <row r="14" customFormat="false" ht="15" hidden="false" customHeight="true" outlineLevel="0" collapsed="false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4" t="str">
        <f aca="true">IF(H14="Pago","✓ OK",IF(G14="","",IF(G14&lt;TODAY(),"🔴 VENCIDA",IF(G14-TODAY()&lt;=7,"🟡 ATENÇÃO","🟢 OK"))))</f>
        <v/>
      </c>
      <c r="L14" s="25" t="str">
        <f aca="true">IF(G14="","",G14-TODAY())</f>
        <v/>
      </c>
    </row>
    <row r="15" customFormat="false" ht="15" hidden="false" customHeight="true" outlineLevel="0" collapsed="false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4" t="str">
        <f aca="true">IF(H15="Pago","✓ OK",IF(G15="","",IF(G15&lt;TODAY(),"🔴 VENCIDA",IF(G15-TODAY()&lt;=7,"🟡 ATENÇÃO","🟢 OK"))))</f>
        <v/>
      </c>
      <c r="L15" s="25" t="str">
        <f aca="true">IF(G15="","",G15-TODAY())</f>
        <v/>
      </c>
    </row>
    <row r="16" customFormat="false" ht="15" hidden="false" customHeight="true" outlineLevel="0" collapsed="false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4" t="str">
        <f aca="true">IF(H16="Pago","✓ OK",IF(G16="","",IF(G16&lt;TODAY(),"🔴 VENCIDA",IF(G16-TODAY()&lt;=7,"🟡 ATENÇÃO","🟢 OK"))))</f>
        <v/>
      </c>
      <c r="L16" s="25" t="str">
        <f aca="true">IF(G16="","",G16-TODAY())</f>
        <v/>
      </c>
    </row>
    <row r="17" customFormat="false" ht="15" hidden="false" customHeight="true" outlineLevel="0" collapsed="false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4" t="str">
        <f aca="true">IF(H17="Pago","✓ OK",IF(G17="","",IF(G17&lt;TODAY(),"🔴 VENCIDA",IF(G17-TODAY()&lt;=7,"🟡 ATENÇÃO","🟢 OK"))))</f>
        <v/>
      </c>
      <c r="L17" s="25" t="str">
        <f aca="true">IF(G17="","",G17-TODAY())</f>
        <v/>
      </c>
    </row>
    <row r="18" customFormat="false" ht="15" hidden="false" customHeight="true" outlineLevel="0" collapsed="false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4" t="str">
        <f aca="true">IF(H18="Pago","✓ OK",IF(G18="","",IF(G18&lt;TODAY(),"🔴 VENCIDA",IF(G18-TODAY()&lt;=7,"🟡 ATENÇÃO","🟢 OK"))))</f>
        <v/>
      </c>
      <c r="L18" s="25" t="str">
        <f aca="true">IF(G18="","",G18-TODAY())</f>
        <v/>
      </c>
    </row>
    <row r="19" customFormat="false" ht="15" hidden="false" customHeight="true" outlineLevel="0" collapsed="false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4" t="str">
        <f aca="true">IF(H19="Pago","✓ OK",IF(G19="","",IF(G19&lt;TODAY(),"🔴 VENCIDA",IF(G19-TODAY()&lt;=7,"🟡 ATENÇÃO","🟢 OK"))))</f>
        <v/>
      </c>
      <c r="L19" s="25" t="str">
        <f aca="true">IF(G19="","",G19-TODAY())</f>
        <v/>
      </c>
    </row>
    <row r="20" customFormat="false" ht="15" hidden="false" customHeight="true" outlineLevel="0" collapsed="false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4" t="str">
        <f aca="true">IF(H20="Pago","✓ OK",IF(G20="","",IF(G20&lt;TODAY(),"🔴 VENCIDA",IF(G20-TODAY()&lt;=7,"🟡 ATENÇÃO","🟢 OK"))))</f>
        <v/>
      </c>
      <c r="L20" s="25" t="str">
        <f aca="true">IF(G20="","",G20-TODAY())</f>
        <v/>
      </c>
    </row>
    <row r="21" customFormat="false" ht="15" hidden="false" customHeight="true" outlineLevel="0" collapsed="false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4" t="str">
        <f aca="true">IF(H21="Pago","✓ OK",IF(G21="","",IF(G21&lt;TODAY(),"🔴 VENCIDA",IF(G21-TODAY()&lt;=7,"🟡 ATENÇÃO","🟢 OK"))))</f>
        <v/>
      </c>
      <c r="L21" s="25" t="str">
        <f aca="true">IF(G21="","",G21-TODAY())</f>
        <v/>
      </c>
    </row>
    <row r="22" customFormat="false" ht="15" hidden="false" customHeight="true" outlineLevel="0" collapsed="false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4" t="str">
        <f aca="true">IF(H22="Pago","✓ OK",IF(G22="","",IF(G22&lt;TODAY(),"🔴 VENCIDA",IF(G22-TODAY()&lt;=7,"🟡 ATENÇÃO","🟢 OK"))))</f>
        <v/>
      </c>
      <c r="L22" s="25" t="str">
        <f aca="true">IF(G22="","",G22-TODAY())</f>
        <v/>
      </c>
    </row>
    <row r="23" customFormat="false" ht="15" hidden="false" customHeight="true" outlineLevel="0" collapsed="false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4" t="str">
        <f aca="true">IF(H23="Pago","✓ OK",IF(G23="","",IF(G23&lt;TODAY(),"🔴 VENCIDA",IF(G23-TODAY()&lt;=7,"🟡 ATENÇÃO","🟢 OK"))))</f>
        <v/>
      </c>
      <c r="L23" s="25" t="str">
        <f aca="true">IF(G23="","",G23-TODAY())</f>
        <v/>
      </c>
    </row>
    <row r="24" customFormat="false" ht="15" hidden="false" customHeight="true" outlineLevel="0" collapsed="false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4" t="str">
        <f aca="true">IF(H24="Pago","✓ OK",IF(G24="","",IF(G24&lt;TODAY(),"🔴 VENCIDA",IF(G24-TODAY()&lt;=7,"🟡 ATENÇÃO","🟢 OK"))))</f>
        <v/>
      </c>
      <c r="L24" s="25" t="str">
        <f aca="true">IF(G24="","",G24-TODAY())</f>
        <v/>
      </c>
    </row>
    <row r="25" customFormat="false" ht="15" hidden="false" customHeight="true" outlineLevel="0" collapsed="false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4" t="str">
        <f aca="true">IF(H25="Pago","✓ OK",IF(G25="","",IF(G25&lt;TODAY(),"🔴 VENCIDA",IF(G25-TODAY()&lt;=7,"🟡 ATENÇÃO","🟢 OK"))))</f>
        <v/>
      </c>
      <c r="L25" s="25" t="str">
        <f aca="true">IF(G25="","",G25-TODAY())</f>
        <v/>
      </c>
    </row>
    <row r="26" customFormat="false" ht="15" hidden="false" customHeight="true" outlineLevel="0" collapsed="false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4" t="str">
        <f aca="true">IF(H26="Pago","✓ OK",IF(G26="","",IF(G26&lt;TODAY(),"🔴 VENCIDA",IF(G26-TODAY()&lt;=7,"🟡 ATENÇÃO","🟢 OK"))))</f>
        <v/>
      </c>
      <c r="L26" s="25" t="str">
        <f aca="true">IF(G26="","",G26-TODAY())</f>
        <v/>
      </c>
    </row>
    <row r="27" customFormat="false" ht="15" hidden="false" customHeight="true" outlineLevel="0" collapsed="false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4" t="str">
        <f aca="true">IF(H27="Pago","✓ OK",IF(G27="","",IF(G27&lt;TODAY(),"🔴 VENCIDA",IF(G27-TODAY()&lt;=7,"🟡 ATENÇÃO","🟢 OK"))))</f>
        <v/>
      </c>
      <c r="L27" s="25" t="str">
        <f aca="true">IF(G27="","",G27-TODAY())</f>
        <v/>
      </c>
    </row>
    <row r="28" customFormat="false" ht="15" hidden="false" customHeight="true" outlineLevel="0" collapsed="false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4" t="str">
        <f aca="true">IF(H28="Pago","✓ OK",IF(G28="","",IF(G28&lt;TODAY(),"🔴 VENCIDA",IF(G28-TODAY()&lt;=7,"🟡 ATENÇÃO","🟢 OK"))))</f>
        <v/>
      </c>
      <c r="L28" s="25" t="str">
        <f aca="true">IF(G28="","",G28-TODAY())</f>
        <v/>
      </c>
    </row>
    <row r="29" customFormat="false" ht="15" hidden="false" customHeight="true" outlineLevel="0" collapsed="false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4" t="str">
        <f aca="true">IF(H29="Pago","✓ OK",IF(G29="","",IF(G29&lt;TODAY(),"🔴 VENCIDA",IF(G29-TODAY()&lt;=7,"🟡 ATENÇÃO","🟢 OK"))))</f>
        <v/>
      </c>
      <c r="L29" s="25" t="str">
        <f aca="true">IF(G29="","",G29-TODAY())</f>
        <v/>
      </c>
    </row>
    <row r="30" customFormat="false" ht="15" hidden="false" customHeight="true" outlineLevel="0" collapsed="false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4" t="str">
        <f aca="true">IF(H30="Pago","✓ OK",IF(G30="","",IF(G30&lt;TODAY(),"🔴 VENCIDA",IF(G30-TODAY()&lt;=7,"🟡 ATENÇÃO","🟢 OK"))))</f>
        <v/>
      </c>
      <c r="L30" s="25" t="str">
        <f aca="true">IF(G30="","",G30-TODAY())</f>
        <v/>
      </c>
    </row>
    <row r="31" customFormat="false" ht="15" hidden="false" customHeight="true" outlineLevel="0" collapsed="false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4" t="str">
        <f aca="true">IF(H31="Pago","✓ OK",IF(G31="","",IF(G31&lt;TODAY(),"🔴 VENCIDA",IF(G31-TODAY()&lt;=7,"🟡 ATENÇÃO","🟢 OK"))))</f>
        <v/>
      </c>
      <c r="L31" s="25" t="str">
        <f aca="true">IF(G31="","",G31-TODAY())</f>
        <v/>
      </c>
    </row>
    <row r="32" customFormat="false" ht="15" hidden="false" customHeight="true" outlineLevel="0" collapsed="false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4" t="str">
        <f aca="true">IF(H32="Pago","✓ OK",IF(G32="","",IF(G32&lt;TODAY(),"🔴 VENCIDA",IF(G32-TODAY()&lt;=7,"🟡 ATENÇÃO","🟢 OK"))))</f>
        <v/>
      </c>
      <c r="L32" s="25" t="str">
        <f aca="true">IF(G32="","",G32-TODAY())</f>
        <v/>
      </c>
    </row>
    <row r="33" customFormat="false" ht="15" hidden="false" customHeight="true" outlineLevel="0" collapsed="false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4" t="str">
        <f aca="true">IF(H33="Pago","✓ OK",IF(G33="","",IF(G33&lt;TODAY(),"🔴 VENCIDA",IF(G33-TODAY()&lt;=7,"🟡 ATENÇÃO","🟢 OK"))))</f>
        <v/>
      </c>
      <c r="L33" s="25" t="str">
        <f aca="true">IF(G33="","",G33-TODAY())</f>
        <v/>
      </c>
    </row>
    <row r="34" customFormat="false" ht="15" hidden="false" customHeight="true" outlineLevel="0" collapsed="false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4" t="str">
        <f aca="true">IF(H34="Pago","✓ OK",IF(G34="","",IF(G34&lt;TODAY(),"🔴 VENCIDA",IF(G34-TODAY()&lt;=7,"🟡 ATENÇÃO","🟢 OK"))))</f>
        <v/>
      </c>
      <c r="L34" s="25" t="str">
        <f aca="true">IF(G34="","",G34-TODAY())</f>
        <v/>
      </c>
    </row>
    <row r="35" customFormat="false" ht="15" hidden="false" customHeight="true" outlineLevel="0" collapsed="false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4" t="str">
        <f aca="true">IF(H35="Pago","✓ OK",IF(G35="","",IF(G35&lt;TODAY(),"🔴 VENCIDA",IF(G35-TODAY()&lt;=7,"🟡 ATENÇÃO","🟢 OK"))))</f>
        <v/>
      </c>
      <c r="L35" s="25" t="str">
        <f aca="true">IF(G35="","",G35-TODAY())</f>
        <v/>
      </c>
    </row>
    <row r="36" customFormat="false" ht="15" hidden="false" customHeight="tru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4" t="str">
        <f aca="true">IF(H36="Pago","✓ OK",IF(G36="","",IF(G36&lt;TODAY(),"🔴 VENCIDA",IF(G36-TODAY()&lt;=7,"🟡 ATENÇÃO","🟢 OK"))))</f>
        <v/>
      </c>
      <c r="L36" s="25" t="str">
        <f aca="true">IF(G36="","",G36-TODAY())</f>
        <v/>
      </c>
    </row>
    <row r="37" customFormat="false" ht="15" hidden="false" customHeight="true" outlineLevel="0" collapsed="false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4" t="str">
        <f aca="true">IF(H37="Pago","✓ OK",IF(G37="","",IF(G37&lt;TODAY(),"🔴 VENCIDA",IF(G37-TODAY()&lt;=7,"🟡 ATENÇÃO","🟢 OK"))))</f>
        <v/>
      </c>
      <c r="L37" s="25" t="str">
        <f aca="true">IF(G37="","",G37-TODAY())</f>
        <v/>
      </c>
    </row>
    <row r="38" customFormat="false" ht="15" hidden="false" customHeight="true" outlineLevel="0" collapsed="false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4" t="str">
        <f aca="true">IF(H38="Pago","✓ OK",IF(G38="","",IF(G38&lt;TODAY(),"🔴 VENCIDA",IF(G38-TODAY()&lt;=7,"🟡 ATENÇÃO","🟢 OK"))))</f>
        <v/>
      </c>
      <c r="L38" s="25" t="str">
        <f aca="true">IF(G38="","",G38-TODAY())</f>
        <v/>
      </c>
    </row>
    <row r="39" customFormat="false" ht="15" hidden="false" customHeight="true" outlineLevel="0" collapsed="false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4" t="str">
        <f aca="true">IF(H39="Pago","✓ OK",IF(G39="","",IF(G39&lt;TODAY(),"🔴 VENCIDA",IF(G39-TODAY()&lt;=7,"🟡 ATENÇÃO","🟢 OK"))))</f>
        <v/>
      </c>
      <c r="L39" s="25" t="str">
        <f aca="true">IF(G39="","",G39-TODAY())</f>
        <v/>
      </c>
    </row>
    <row r="40" customFormat="false" ht="15" hidden="false" customHeight="true" outlineLevel="0" collapsed="false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4" t="str">
        <f aca="true">IF(H40="Pago","✓ OK",IF(G40="","",IF(G40&lt;TODAY(),"🔴 VENCIDA",IF(G40-TODAY()&lt;=7,"🟡 ATENÇÃO","🟢 OK"))))</f>
        <v/>
      </c>
      <c r="L40" s="25" t="str">
        <f aca="true">IF(G40="","",G40-TODAY())</f>
        <v/>
      </c>
    </row>
    <row r="41" customFormat="false" ht="15" hidden="false" customHeight="true" outlineLevel="0" collapsed="false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4" t="str">
        <f aca="true">IF(H41="Pago","✓ OK",IF(G41="","",IF(G41&lt;TODAY(),"🔴 VENCIDA",IF(G41-TODAY()&lt;=7,"🟡 ATENÇÃO","🟢 OK"))))</f>
        <v/>
      </c>
      <c r="L41" s="25" t="str">
        <f aca="true">IF(G41="","",G41-TODAY())</f>
        <v/>
      </c>
    </row>
    <row r="42" customFormat="false" ht="15" hidden="false" customHeight="true" outlineLevel="0" collapsed="false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4" t="str">
        <f aca="true">IF(H42="Pago","✓ OK",IF(G42="","",IF(G42&lt;TODAY(),"🔴 VENCIDA",IF(G42-TODAY()&lt;=7,"🟡 ATENÇÃO","🟢 OK"))))</f>
        <v/>
      </c>
      <c r="L42" s="25" t="str">
        <f aca="true">IF(G42="","",G42-TODAY())</f>
        <v/>
      </c>
    </row>
    <row r="43" customFormat="false" ht="15" hidden="false" customHeight="tru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4" t="str">
        <f aca="true">IF(H43="Pago","✓ OK",IF(G43="","",IF(G43&lt;TODAY(),"🔴 VENCIDA",IF(G43-TODAY()&lt;=7,"🟡 ATENÇÃO","🟢 OK"))))</f>
        <v/>
      </c>
      <c r="L43" s="25" t="str">
        <f aca="true">IF(G43="","",G43-TODAY())</f>
        <v/>
      </c>
    </row>
    <row r="44" customFormat="false" ht="15" hidden="false" customHeight="true" outlineLevel="0" collapsed="false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4" t="str">
        <f aca="true">IF(H44="Pago","✓ OK",IF(G44="","",IF(G44&lt;TODAY(),"🔴 VENCIDA",IF(G44-TODAY()&lt;=7,"🟡 ATENÇÃO","🟢 OK"))))</f>
        <v/>
      </c>
      <c r="L44" s="25" t="str">
        <f aca="true">IF(G44="","",G44-TODAY())</f>
        <v/>
      </c>
    </row>
    <row r="45" customFormat="false" ht="15" hidden="false" customHeight="true" outlineLevel="0" collapsed="false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4" t="str">
        <f aca="true">IF(H45="Pago","✓ OK",IF(G45="","",IF(G45&lt;TODAY(),"🔴 VENCIDA",IF(G45-TODAY()&lt;=7,"🟡 ATENÇÃO","🟢 OK"))))</f>
        <v/>
      </c>
      <c r="L45" s="25" t="str">
        <f aca="true">IF(G45="","",G45-TODAY())</f>
        <v/>
      </c>
    </row>
    <row r="46" customFormat="false" ht="15" hidden="false" customHeight="true" outlineLevel="0" collapsed="false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4" t="str">
        <f aca="true">IF(H46="Pago","✓ OK",IF(G46="","",IF(G46&lt;TODAY(),"🔴 VENCIDA",IF(G46-TODAY()&lt;=7,"🟡 ATENÇÃO","🟢 OK"))))</f>
        <v/>
      </c>
      <c r="L46" s="25" t="str">
        <f aca="true">IF(G46="","",G46-TODAY())</f>
        <v/>
      </c>
    </row>
    <row r="47" customFormat="false" ht="15" hidden="false" customHeight="true" outlineLevel="0" collapsed="false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4" t="str">
        <f aca="true">IF(H47="Pago","✓ OK",IF(G47="","",IF(G47&lt;TODAY(),"🔴 VENCIDA",IF(G47-TODAY()&lt;=7,"🟡 ATENÇÃO","🟢 OK"))))</f>
        <v/>
      </c>
      <c r="L47" s="25" t="str">
        <f aca="true">IF(G47="","",G47-TODAY())</f>
        <v/>
      </c>
    </row>
    <row r="48" customFormat="false" ht="15" hidden="false" customHeight="true" outlineLevel="0" collapsed="false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4" t="str">
        <f aca="true">IF(H48="Pago","✓ OK",IF(G48="","",IF(G48&lt;TODAY(),"🔴 VENCIDA",IF(G48-TODAY()&lt;=7,"🟡 ATENÇÃO","🟢 OK"))))</f>
        <v/>
      </c>
      <c r="L48" s="25" t="str">
        <f aca="true">IF(G48="","",G48-TODAY())</f>
        <v/>
      </c>
    </row>
    <row r="49" customFormat="false" ht="15" hidden="false" customHeight="true" outlineLevel="0" collapsed="false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4" t="str">
        <f aca="true">IF(H49="Pago","✓ OK",IF(G49="","",IF(G49&lt;TODAY(),"🔴 VENCIDA",IF(G49-TODAY()&lt;=7,"🟡 ATENÇÃO","🟢 OK"))))</f>
        <v/>
      </c>
      <c r="L49" s="25" t="str">
        <f aca="true">IF(G49="","",G49-TODAY())</f>
        <v/>
      </c>
    </row>
    <row r="50" customFormat="false" ht="15" hidden="false" customHeight="true" outlineLevel="0" collapsed="false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4" t="str">
        <f aca="true">IF(H50="Pago","✓ OK",IF(G50="","",IF(G50&lt;TODAY(),"🔴 VENCIDA",IF(G50-TODAY()&lt;=7,"🟡 ATENÇÃO","🟢 OK"))))</f>
        <v/>
      </c>
      <c r="L50" s="25" t="str">
        <f aca="true">IF(G50="","",G50-TODAY())</f>
        <v/>
      </c>
    </row>
    <row r="51" customFormat="false" ht="15" hidden="false" customHeight="true" outlineLevel="0" collapsed="false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4" t="str">
        <f aca="true">IF(H51="Pago","✓ OK",IF(G51="","",IF(G51&lt;TODAY(),"🔴 VENCIDA",IF(G51-TODAY()&lt;=7,"🟡 ATENÇÃO","🟢 OK"))))</f>
        <v/>
      </c>
      <c r="L51" s="25" t="str">
        <f aca="true">IF(G51="","",G51-TODAY())</f>
        <v/>
      </c>
    </row>
    <row r="52" customFormat="false" ht="15" hidden="false" customHeight="true" outlineLevel="0" collapsed="false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4" t="str">
        <f aca="true">IF(H52="Pago","✓ OK",IF(G52="","",IF(G52&lt;TODAY(),"🔴 VENCIDA",IF(G52-TODAY()&lt;=7,"🟡 ATENÇÃO","🟢 OK"))))</f>
        <v/>
      </c>
      <c r="L52" s="25" t="str">
        <f aca="true">IF(G52="","",G52-TODAY())</f>
        <v/>
      </c>
    </row>
    <row r="53" customFormat="false" ht="15" hidden="false" customHeight="true" outlineLevel="0" collapsed="false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4" t="str">
        <f aca="true">IF(H53="Pago","✓ OK",IF(G53="","",IF(G53&lt;TODAY(),"🔴 VENCIDA",IF(G53-TODAY()&lt;=7,"🟡 ATENÇÃO","🟢 OK"))))</f>
        <v/>
      </c>
      <c r="L53" s="25" t="str">
        <f aca="true">IF(G53="","",G53-TODAY())</f>
        <v/>
      </c>
    </row>
    <row r="54" customFormat="false" ht="15" hidden="false" customHeight="true" outlineLevel="0" collapsed="false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4" t="str">
        <f aca="true">IF(H54="Pago","✓ OK",IF(G54="","",IF(G54&lt;TODAY(),"🔴 VENCIDA",IF(G54-TODAY()&lt;=7,"🟡 ATENÇÃO","🟢 OK"))))</f>
        <v/>
      </c>
      <c r="L54" s="25" t="str">
        <f aca="true">IF(G54="","",G54-TODAY())</f>
        <v/>
      </c>
    </row>
    <row r="55" customFormat="false" ht="15" hidden="false" customHeight="true" outlineLevel="0" collapsed="false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4" t="str">
        <f aca="true">IF(H55="Pago","✓ OK",IF(G55="","",IF(G55&lt;TODAY(),"🔴 VENCIDA",IF(G55-TODAY()&lt;=7,"🟡 ATENÇÃO","🟢 OK"))))</f>
        <v/>
      </c>
      <c r="L55" s="25" t="str">
        <f aca="true">IF(G55="","",G55-TODAY())</f>
        <v/>
      </c>
    </row>
    <row r="56" customFormat="false" ht="15" hidden="false" customHeight="true" outlineLevel="0" collapsed="false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4" t="str">
        <f aca="true">IF(H56="Pago","✓ OK",IF(G56="","",IF(G56&lt;TODAY(),"🔴 VENCIDA",IF(G56-TODAY()&lt;=7,"🟡 ATENÇÃO","🟢 OK"))))</f>
        <v/>
      </c>
      <c r="L56" s="25" t="str">
        <f aca="true">IF(G56="","",G56-TODAY())</f>
        <v/>
      </c>
    </row>
    <row r="57" customFormat="false" ht="15" hidden="false" customHeight="true" outlineLevel="0" collapsed="false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4" t="str">
        <f aca="true">IF(H57="Pago","✓ OK",IF(G57="","",IF(G57&lt;TODAY(),"🔴 VENCIDA",IF(G57-TODAY()&lt;=7,"🟡 ATENÇÃO","🟢 OK"))))</f>
        <v/>
      </c>
      <c r="L57" s="25" t="str">
        <f aca="true">IF(G57="","",G57-TODAY())</f>
        <v/>
      </c>
    </row>
    <row r="58" customFormat="false" ht="15" hidden="false" customHeight="true" outlineLevel="0" collapsed="false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4" t="str">
        <f aca="true">IF(H58="Pago","✓ OK",IF(G58="","",IF(G58&lt;TODAY(),"🔴 VENCIDA",IF(G58-TODAY()&lt;=7,"🟡 ATENÇÃO","🟢 OK"))))</f>
        <v/>
      </c>
      <c r="L58" s="25" t="str">
        <f aca="true">IF(G58="","",G58-TODAY())</f>
        <v/>
      </c>
    </row>
    <row r="59" customFormat="false" ht="15" hidden="false" customHeight="true" outlineLevel="0" collapsed="false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4" t="str">
        <f aca="true">IF(H59="Pago","✓ OK",IF(G59="","",IF(G59&lt;TODAY(),"🔴 VENCIDA",IF(G59-TODAY()&lt;=7,"🟡 ATENÇÃO","🟢 OK"))))</f>
        <v/>
      </c>
      <c r="L59" s="25" t="str">
        <f aca="true">IF(G59="","",G59-TODAY())</f>
        <v/>
      </c>
    </row>
    <row r="60" customFormat="false" ht="15" hidden="false" customHeight="true" outlineLevel="0" collapsed="false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4" t="str">
        <f aca="true">IF(H60="Pago","✓ OK",IF(G60="","",IF(G60&lt;TODAY(),"🔴 VENCIDA",IF(G60-TODAY()&lt;=7,"🟡 ATENÇÃO","🟢 OK"))))</f>
        <v/>
      </c>
      <c r="L60" s="25" t="str">
        <f aca="true">IF(G60="","",G60-TODAY())</f>
        <v/>
      </c>
    </row>
    <row r="61" customFormat="false" ht="15" hidden="false" customHeight="true" outlineLevel="0" collapsed="false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4" t="str">
        <f aca="true">IF(H61="Pago","✓ OK",IF(G61="","",IF(G61&lt;TODAY(),"🔴 VENCIDA",IF(G61-TODAY()&lt;=7,"🟡 ATENÇÃO","🟢 OK"))))</f>
        <v/>
      </c>
      <c r="L61" s="25" t="str">
        <f aca="true">IF(G61="","",G61-TODAY())</f>
        <v/>
      </c>
    </row>
    <row r="62" customFormat="false" ht="15" hidden="false" customHeight="true" outlineLevel="0" collapsed="false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4" t="str">
        <f aca="true">IF(H62="Pago","✓ OK",IF(G62="","",IF(G62&lt;TODAY(),"🔴 VENCIDA",IF(G62-TODAY()&lt;=7,"🟡 ATENÇÃO","🟢 OK"))))</f>
        <v/>
      </c>
      <c r="L62" s="25" t="str">
        <f aca="true">IF(G62="","",G62-TODAY())</f>
        <v/>
      </c>
    </row>
    <row r="63" customFormat="false" ht="15" hidden="false" customHeight="true" outlineLevel="0" collapsed="false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4" t="str">
        <f aca="true">IF(H63="Pago","✓ OK",IF(G63="","",IF(G63&lt;TODAY(),"🔴 VENCIDA",IF(G63-TODAY()&lt;=7,"🟡 ATENÇÃO","🟢 OK"))))</f>
        <v/>
      </c>
      <c r="L63" s="25" t="str">
        <f aca="true">IF(G63="","",G63-TODAY())</f>
        <v/>
      </c>
    </row>
    <row r="64" customFormat="false" ht="15" hidden="false" customHeight="true" outlineLevel="0" collapsed="false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4" t="str">
        <f aca="true">IF(H64="Pago","✓ OK",IF(G64="","",IF(G64&lt;TODAY(),"🔴 VENCIDA",IF(G64-TODAY()&lt;=7,"🟡 ATENÇÃO","🟢 OK"))))</f>
        <v/>
      </c>
      <c r="L64" s="25" t="str">
        <f aca="true">IF(G64="","",G64-TODAY())</f>
        <v/>
      </c>
    </row>
    <row r="65" customFormat="false" ht="15" hidden="false" customHeight="true" outlineLevel="0" collapsed="false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4" t="str">
        <f aca="true">IF(H65="Pago","✓ OK",IF(G65="","",IF(G65&lt;TODAY(),"🔴 VENCIDA",IF(G65-TODAY()&lt;=7,"🟡 ATENÇÃO","🟢 OK"))))</f>
        <v/>
      </c>
      <c r="L65" s="25" t="str">
        <f aca="true">IF(G65="","",G65-TODAY())</f>
        <v/>
      </c>
    </row>
    <row r="66" customFormat="false" ht="15" hidden="false" customHeight="true" outlineLevel="0" collapsed="false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4" t="str">
        <f aca="true">IF(H66="Pago","✓ OK",IF(G66="","",IF(G66&lt;TODAY(),"🔴 VENCIDA",IF(G66-TODAY()&lt;=7,"🟡 ATENÇÃO","🟢 OK"))))</f>
        <v/>
      </c>
      <c r="L66" s="25" t="str">
        <f aca="true">IF(G66="","",G66-TODAY())</f>
        <v/>
      </c>
    </row>
    <row r="67" customFormat="false" ht="15" hidden="false" customHeight="true" outlineLevel="0" collapsed="false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4" t="str">
        <f aca="true">IF(H67="Pago","✓ OK",IF(G67="","",IF(G67&lt;TODAY(),"🔴 VENCIDA",IF(G67-TODAY()&lt;=7,"🟡 ATENÇÃO","🟢 OK"))))</f>
        <v/>
      </c>
      <c r="L67" s="25" t="str">
        <f aca="true">IF(G67="","",G67-TODAY())</f>
        <v/>
      </c>
    </row>
    <row r="68" customFormat="false" ht="15" hidden="false" customHeight="true" outlineLevel="0" collapsed="false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4" t="str">
        <f aca="true">IF(H68="Pago","✓ OK",IF(G68="","",IF(G68&lt;TODAY(),"🔴 VENCIDA",IF(G68-TODAY()&lt;=7,"🟡 ATENÇÃO","🟢 OK"))))</f>
        <v/>
      </c>
      <c r="L68" s="25" t="str">
        <f aca="true">IF(G68="","",G68-TODAY())</f>
        <v/>
      </c>
    </row>
    <row r="69" customFormat="false" ht="15" hidden="false" customHeight="true" outlineLevel="0" collapsed="false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4" t="str">
        <f aca="true">IF(H69="Pago","✓ OK",IF(G69="","",IF(G69&lt;TODAY(),"🔴 VENCIDA",IF(G69-TODAY()&lt;=7,"🟡 ATENÇÃO","🟢 OK"))))</f>
        <v/>
      </c>
      <c r="L69" s="25" t="str">
        <f aca="true">IF(G69="","",G69-TODAY())</f>
        <v/>
      </c>
    </row>
    <row r="70" customFormat="false" ht="15" hidden="false" customHeight="true" outlineLevel="0" collapsed="false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4" t="str">
        <f aca="true">IF(H70="Pago","✓ OK",IF(G70="","",IF(G70&lt;TODAY(),"🔴 VENCIDA",IF(G70-TODAY()&lt;=7,"🟡 ATENÇÃO","🟢 OK"))))</f>
        <v/>
      </c>
      <c r="L70" s="25" t="str">
        <f aca="true">IF(G70="","",G70-TODAY())</f>
        <v/>
      </c>
    </row>
    <row r="71" customFormat="false" ht="15" hidden="false" customHeight="true" outlineLevel="0" collapsed="false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4" t="str">
        <f aca="true">IF(H71="Pago","✓ OK",IF(G71="","",IF(G71&lt;TODAY(),"🔴 VENCIDA",IF(G71-TODAY()&lt;=7,"🟡 ATENÇÃO","🟢 OK"))))</f>
        <v/>
      </c>
      <c r="L71" s="25" t="str">
        <f aca="true">IF(G71="","",G71-TODAY())</f>
        <v/>
      </c>
    </row>
    <row r="72" customFormat="false" ht="15" hidden="false" customHeight="true" outlineLevel="0" collapsed="false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4" t="str">
        <f aca="true">IF(H72="Pago","✓ OK",IF(G72="","",IF(G72&lt;TODAY(),"🔴 VENCIDA",IF(G72-TODAY()&lt;=7,"🟡 ATENÇÃO","🟢 OK"))))</f>
        <v/>
      </c>
      <c r="L72" s="25" t="str">
        <f aca="true">IF(G72="","",G72-TODAY())</f>
        <v/>
      </c>
    </row>
    <row r="73" customFormat="false" ht="15" hidden="false" customHeight="true" outlineLevel="0" collapsed="false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4" t="str">
        <f aca="true">IF(H73="Pago","✓ OK",IF(G73="","",IF(G73&lt;TODAY(),"🔴 VENCIDA",IF(G73-TODAY()&lt;=7,"🟡 ATENÇÃO","🟢 OK"))))</f>
        <v/>
      </c>
      <c r="L73" s="25" t="str">
        <f aca="true">IF(G73="","",G73-TODAY())</f>
        <v/>
      </c>
    </row>
    <row r="74" customFormat="false" ht="15" hidden="false" customHeight="true" outlineLevel="0" collapsed="false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4" t="str">
        <f aca="true">IF(H74="Pago","✓ OK",IF(G74="","",IF(G74&lt;TODAY(),"🔴 VENCIDA",IF(G74-TODAY()&lt;=7,"🟡 ATENÇÃO","🟢 OK"))))</f>
        <v/>
      </c>
      <c r="L74" s="25" t="str">
        <f aca="true">IF(G74="","",G74-TODAY())</f>
        <v/>
      </c>
    </row>
    <row r="75" customFormat="false" ht="15" hidden="false" customHeight="true" outlineLevel="0" collapsed="false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4" t="str">
        <f aca="true">IF(H75="Pago","✓ OK",IF(G75="","",IF(G75&lt;TODAY(),"🔴 VENCIDA",IF(G75-TODAY()&lt;=7,"🟡 ATENÇÃO","🟢 OK"))))</f>
        <v/>
      </c>
      <c r="L75" s="25" t="str">
        <f aca="true">IF(G75="","",G75-TODAY())</f>
        <v/>
      </c>
    </row>
    <row r="76" customFormat="false" ht="15" hidden="false" customHeight="true" outlineLevel="0" collapsed="false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4" t="str">
        <f aca="true">IF(H76="Pago","✓ OK",IF(G76="","",IF(G76&lt;TODAY(),"🔴 VENCIDA",IF(G76-TODAY()&lt;=7,"🟡 ATENÇÃO","🟢 OK"))))</f>
        <v/>
      </c>
      <c r="L76" s="25" t="str">
        <f aca="true">IF(G76="","",G76-TODAY())</f>
        <v/>
      </c>
    </row>
    <row r="77" customFormat="false" ht="15" hidden="false" customHeight="true" outlineLevel="0" collapsed="false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4" t="str">
        <f aca="true">IF(H77="Pago","✓ OK",IF(G77="","",IF(G77&lt;TODAY(),"🔴 VENCIDA",IF(G77-TODAY()&lt;=7,"🟡 ATENÇÃO","🟢 OK"))))</f>
        <v/>
      </c>
      <c r="L77" s="25" t="str">
        <f aca="true">IF(G77="","",G77-TODAY())</f>
        <v/>
      </c>
    </row>
    <row r="78" customFormat="false" ht="15" hidden="false" customHeight="true" outlineLevel="0" collapsed="false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4" t="str">
        <f aca="true">IF(H78="Pago","✓ OK",IF(G78="","",IF(G78&lt;TODAY(),"🔴 VENCIDA",IF(G78-TODAY()&lt;=7,"🟡 ATENÇÃO","🟢 OK"))))</f>
        <v/>
      </c>
      <c r="L78" s="25" t="str">
        <f aca="true">IF(G78="","",G78-TODAY())</f>
        <v/>
      </c>
    </row>
    <row r="79" customFormat="false" ht="15" hidden="false" customHeight="true" outlineLevel="0" collapsed="false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4" t="str">
        <f aca="true">IF(H79="Pago","✓ OK",IF(G79="","",IF(G79&lt;TODAY(),"🔴 VENCIDA",IF(G79-TODAY()&lt;=7,"🟡 ATENÇÃO","🟢 OK"))))</f>
        <v/>
      </c>
      <c r="L79" s="25" t="str">
        <f aca="true">IF(G79="","",G79-TODAY())</f>
        <v/>
      </c>
    </row>
    <row r="80" customFormat="false" ht="15" hidden="false" customHeight="true" outlineLevel="0" collapsed="false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4" t="str">
        <f aca="true">IF(H80="Pago","✓ OK",IF(G80="","",IF(G80&lt;TODAY(),"🔴 VENCIDA",IF(G80-TODAY()&lt;=7,"🟡 ATENÇÃO","🟢 OK"))))</f>
        <v/>
      </c>
      <c r="L80" s="25" t="str">
        <f aca="true">IF(G80="","",G80-TODAY())</f>
        <v/>
      </c>
    </row>
    <row r="81" customFormat="false" ht="15" hidden="false" customHeight="true" outlineLevel="0" collapsed="false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4" t="str">
        <f aca="true">IF(H81="Pago","✓ OK",IF(G81="","",IF(G81&lt;TODAY(),"🔴 VENCIDA",IF(G81-TODAY()&lt;=7,"🟡 ATENÇÃO","🟢 OK"))))</f>
        <v/>
      </c>
      <c r="L81" s="25" t="str">
        <f aca="true">IF(G81="","",G81-TODAY())</f>
        <v/>
      </c>
    </row>
    <row r="82" customFormat="false" ht="15" hidden="false" customHeight="true" outlineLevel="0" collapsed="false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4" t="str">
        <f aca="true">IF(H82="Pago","✓ OK",IF(G82="","",IF(G82&lt;TODAY(),"🔴 VENCIDA",IF(G82-TODAY()&lt;=7,"🟡 ATENÇÃO","🟢 OK"))))</f>
        <v/>
      </c>
      <c r="L82" s="25" t="str">
        <f aca="true">IF(G82="","",G82-TODAY())</f>
        <v/>
      </c>
    </row>
    <row r="83" customFormat="false" ht="15" hidden="false" customHeight="true" outlineLevel="0" collapsed="false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4" t="str">
        <f aca="true">IF(H83="Pago","✓ OK",IF(G83="","",IF(G83&lt;TODAY(),"🔴 VENCIDA",IF(G83-TODAY()&lt;=7,"🟡 ATENÇÃO","🟢 OK"))))</f>
        <v/>
      </c>
      <c r="L83" s="25" t="str">
        <f aca="true">IF(G83="","",G83-TODAY())</f>
        <v/>
      </c>
    </row>
    <row r="84" customFormat="false" ht="15" hidden="false" customHeight="true" outlineLevel="0" collapsed="false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4" t="str">
        <f aca="true">IF(H84="Pago","✓ OK",IF(G84="","",IF(G84&lt;TODAY(),"🔴 VENCIDA",IF(G84-TODAY()&lt;=7,"🟡 ATENÇÃO","🟢 OK"))))</f>
        <v/>
      </c>
      <c r="L84" s="25" t="str">
        <f aca="true">IF(G84="","",G84-TODAY())</f>
        <v/>
      </c>
    </row>
    <row r="85" customFormat="false" ht="15" hidden="false" customHeight="true" outlineLevel="0" collapsed="false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4" t="str">
        <f aca="true">IF(H85="Pago","✓ OK",IF(G85="","",IF(G85&lt;TODAY(),"🔴 VENCIDA",IF(G85-TODAY()&lt;=7,"🟡 ATENÇÃO","🟢 OK"))))</f>
        <v/>
      </c>
      <c r="L85" s="25" t="str">
        <f aca="true">IF(G85="","",G85-TODAY())</f>
        <v/>
      </c>
    </row>
    <row r="86" customFormat="false" ht="15" hidden="false" customHeight="true" outlineLevel="0" collapsed="false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4" t="str">
        <f aca="true">IF(H86="Pago","✓ OK",IF(G86="","",IF(G86&lt;TODAY(),"🔴 VENCIDA",IF(G86-TODAY()&lt;=7,"🟡 ATENÇÃO","🟢 OK"))))</f>
        <v/>
      </c>
      <c r="L86" s="25" t="str">
        <f aca="true">IF(G86="","",G86-TODAY())</f>
        <v/>
      </c>
    </row>
    <row r="87" customFormat="false" ht="15" hidden="false" customHeight="true" outlineLevel="0" collapsed="false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4" t="str">
        <f aca="true">IF(H87="Pago","✓ OK",IF(G87="","",IF(G87&lt;TODAY(),"🔴 VENCIDA",IF(G87-TODAY()&lt;=7,"🟡 ATENÇÃO","🟢 OK"))))</f>
        <v/>
      </c>
      <c r="L87" s="25" t="str">
        <f aca="true">IF(G87="","",G87-TODAY())</f>
        <v/>
      </c>
    </row>
    <row r="88" customFormat="false" ht="15" hidden="false" customHeight="true" outlineLevel="0" collapsed="false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4" t="str">
        <f aca="true">IF(H88="Pago","✓ OK",IF(G88="","",IF(G88&lt;TODAY(),"🔴 VENCIDA",IF(G88-TODAY()&lt;=7,"🟡 ATENÇÃO","🟢 OK"))))</f>
        <v/>
      </c>
      <c r="L88" s="25" t="str">
        <f aca="true">IF(G88="","",G88-TODAY())</f>
        <v/>
      </c>
    </row>
    <row r="89" customFormat="false" ht="15" hidden="false" customHeight="true" outlineLevel="0" collapsed="false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4" t="str">
        <f aca="true">IF(H89="Pago","✓ OK",IF(G89="","",IF(G89&lt;TODAY(),"🔴 VENCIDA",IF(G89-TODAY()&lt;=7,"🟡 ATENÇÃO","🟢 OK"))))</f>
        <v/>
      </c>
      <c r="L89" s="25" t="str">
        <f aca="true">IF(G89="","",G89-TODAY())</f>
        <v/>
      </c>
    </row>
    <row r="90" customFormat="false" ht="15" hidden="false" customHeight="true" outlineLevel="0" collapsed="false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4" t="str">
        <f aca="true">IF(H90="Pago","✓ OK",IF(G90="","",IF(G90&lt;TODAY(),"🔴 VENCIDA",IF(G90-TODAY()&lt;=7,"🟡 ATENÇÃO","🟢 OK"))))</f>
        <v/>
      </c>
      <c r="L90" s="25" t="str">
        <f aca="true">IF(G90="","",G90-TODAY())</f>
        <v/>
      </c>
    </row>
    <row r="91" customFormat="false" ht="15" hidden="false" customHeight="true" outlineLevel="0" collapsed="false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4" t="str">
        <f aca="true">IF(H91="Pago","✓ OK",IF(G91="","",IF(G91&lt;TODAY(),"🔴 VENCIDA",IF(G91-TODAY()&lt;=7,"🟡 ATENÇÃO","🟢 OK"))))</f>
        <v/>
      </c>
      <c r="L91" s="25" t="str">
        <f aca="true">IF(G91="","",G91-TODAY())</f>
        <v/>
      </c>
    </row>
    <row r="92" customFormat="false" ht="15" hidden="false" customHeight="true" outlineLevel="0" collapsed="false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4" t="str">
        <f aca="true">IF(H92="Pago","✓ OK",IF(G92="","",IF(G92&lt;TODAY(),"🔴 VENCIDA",IF(G92-TODAY()&lt;=7,"🟡 ATENÇÃO","🟢 OK"))))</f>
        <v/>
      </c>
      <c r="L92" s="25" t="str">
        <f aca="true">IF(G92="","",G92-TODAY())</f>
        <v/>
      </c>
    </row>
    <row r="93" customFormat="false" ht="15" hidden="false" customHeight="true" outlineLevel="0" collapsed="false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4" t="str">
        <f aca="true">IF(H93="Pago","✓ OK",IF(G93="","",IF(G93&lt;TODAY(),"🔴 VENCIDA",IF(G93-TODAY()&lt;=7,"🟡 ATENÇÃO","🟢 OK"))))</f>
        <v/>
      </c>
      <c r="L93" s="25" t="str">
        <f aca="true">IF(G93="","",G93-TODAY())</f>
        <v/>
      </c>
    </row>
    <row r="94" customFormat="false" ht="15" hidden="false" customHeight="true" outlineLevel="0" collapsed="false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4" t="str">
        <f aca="true">IF(H94="Pago","✓ OK",IF(G94="","",IF(G94&lt;TODAY(),"🔴 VENCIDA",IF(G94-TODAY()&lt;=7,"🟡 ATENÇÃO","🟢 OK"))))</f>
        <v/>
      </c>
      <c r="L94" s="25" t="str">
        <f aca="true">IF(G94="","",G94-TODAY())</f>
        <v/>
      </c>
    </row>
    <row r="95" customFormat="false" ht="15" hidden="false" customHeight="true" outlineLevel="0" collapsed="false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4" t="str">
        <f aca="true">IF(H95="Pago","✓ OK",IF(G95="","",IF(G95&lt;TODAY(),"🔴 VENCIDA",IF(G95-TODAY()&lt;=7,"🟡 ATENÇÃO","🟢 OK"))))</f>
        <v/>
      </c>
      <c r="L95" s="25" t="str">
        <f aca="true">IF(G95="","",G95-TODAY())</f>
        <v/>
      </c>
    </row>
    <row r="96" customFormat="false" ht="15" hidden="false" customHeight="true" outlineLevel="0" collapsed="false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4" t="str">
        <f aca="true">IF(H96="Pago","✓ OK",IF(G96="","",IF(G96&lt;TODAY(),"🔴 VENCIDA",IF(G96-TODAY()&lt;=7,"🟡 ATENÇÃO","🟢 OK"))))</f>
        <v/>
      </c>
      <c r="L96" s="25" t="str">
        <f aca="true">IF(G96="","",G96-TODAY())</f>
        <v/>
      </c>
    </row>
    <row r="97" customFormat="false" ht="15" hidden="false" customHeight="true" outlineLevel="0" collapsed="false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4" t="str">
        <f aca="true">IF(H97="Pago","✓ OK",IF(G97="","",IF(G97&lt;TODAY(),"🔴 VENCIDA",IF(G97-TODAY()&lt;=7,"🟡 ATENÇÃO","🟢 OK"))))</f>
        <v/>
      </c>
      <c r="L97" s="25" t="str">
        <f aca="true">IF(G97="","",G97-TODAY())</f>
        <v/>
      </c>
    </row>
    <row r="98" customFormat="false" ht="15" hidden="false" customHeight="true" outlineLevel="0" collapsed="false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4" t="str">
        <f aca="true">IF(H98="Pago","✓ OK",IF(G98="","",IF(G98&lt;TODAY(),"🔴 VENCIDA",IF(G98-TODAY()&lt;=7,"🟡 ATENÇÃO","🟢 OK"))))</f>
        <v/>
      </c>
      <c r="L98" s="25" t="str">
        <f aca="true">IF(G98="","",G98-TODAY())</f>
        <v/>
      </c>
    </row>
    <row r="99" customFormat="false" ht="15" hidden="false" customHeight="true" outlineLevel="0" collapsed="false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4" t="str">
        <f aca="true">IF(H99="Pago","✓ OK",IF(G99="","",IF(G99&lt;TODAY(),"🔴 VENCIDA",IF(G99-TODAY()&lt;=7,"🟡 ATENÇÃO","🟢 OK"))))</f>
        <v/>
      </c>
      <c r="L99" s="25" t="str">
        <f aca="true">IF(G99="","",G99-TODAY())</f>
        <v/>
      </c>
    </row>
    <row r="100" customFormat="false" ht="15" hidden="false" customHeight="true" outlineLevel="0" collapsed="false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4" t="str">
        <f aca="true">IF(H100="Pago","✓ OK",IF(G100="","",IF(G100&lt;TODAY(),"🔴 VENCIDA",IF(G100-TODAY()&lt;=7,"🟡 ATENÇÃO","🟢 OK"))))</f>
        <v/>
      </c>
      <c r="L100" s="25" t="str">
        <f aca="true">IF(G100="","",G100-TODAY())</f>
        <v/>
      </c>
    </row>
    <row r="101" customFormat="false" ht="15" hidden="false" customHeight="true" outlineLevel="0" collapsed="false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4" t="str">
        <f aca="true">IF(H101="Pago","✓ OK",IF(G101="","",IF(G101&lt;TODAY(),"🔴 VENCIDA",IF(G101-TODAY()&lt;=7,"🟡 ATENÇÃO","🟢 OK"))))</f>
        <v/>
      </c>
      <c r="L101" s="25" t="str">
        <f aca="true">IF(G101="","",G101-TODAY())</f>
        <v/>
      </c>
    </row>
    <row r="102" customFormat="false" ht="15" hidden="false" customHeight="true" outlineLevel="0" collapsed="false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4" t="str">
        <f aca="true">IF(H102="Pago","✓ OK",IF(G102="","",IF(G102&lt;TODAY(),"🔴 VENCIDA",IF(G102-TODAY()&lt;=7,"🟡 ATENÇÃO","🟢 OK"))))</f>
        <v/>
      </c>
      <c r="L102" s="25" t="str">
        <f aca="true">IF(G102="","",G102-TODAY())</f>
        <v/>
      </c>
    </row>
    <row r="103" customFormat="false" ht="15" hidden="false" customHeight="true" outlineLevel="0" collapsed="false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4" t="str">
        <f aca="true">IF(H103="Pago","✓ OK",IF(G103="","",IF(G103&lt;TODAY(),"🔴 VENCIDA",IF(G103-TODAY()&lt;=7,"🟡 ATENÇÃO","🟢 OK"))))</f>
        <v/>
      </c>
      <c r="L103" s="25" t="str">
        <f aca="true">IF(G103="","",G103-TODAY())</f>
        <v/>
      </c>
    </row>
    <row r="104" customFormat="false" ht="15" hidden="false" customHeight="true" outlineLevel="0" collapsed="false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4" t="str">
        <f aca="true">IF(H104="Pago","✓ OK",IF(G104="","",IF(G104&lt;TODAY(),"🔴 VENCIDA",IF(G104-TODAY()&lt;=7,"🟡 ATENÇÃO","🟢 OK"))))</f>
        <v/>
      </c>
      <c r="L104" s="25" t="str">
        <f aca="true">IF(G104="","",G104-TODAY())</f>
        <v/>
      </c>
    </row>
    <row r="105" customFormat="false" ht="15" hidden="false" customHeight="true" outlineLevel="0" collapsed="false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4" t="str">
        <f aca="true">IF(H105="Pago","✓ OK",IF(G105="","",IF(G105&lt;TODAY(),"🔴 VENCIDA",IF(G105-TODAY()&lt;=7,"🟡 ATENÇÃO","🟢 OK"))))</f>
        <v/>
      </c>
      <c r="L105" s="25" t="str">
        <f aca="true">IF(G105="","",G105-TODAY())</f>
        <v/>
      </c>
    </row>
    <row r="106" customFormat="false" ht="15" hidden="false" customHeight="true" outlineLevel="0" collapsed="false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4" t="str">
        <f aca="true">IF(H106="Pago","✓ OK",IF(G106="","",IF(G106&lt;TODAY(),"🔴 VENCIDA",IF(G106-TODAY()&lt;=7,"🟡 ATENÇÃO","🟢 OK"))))</f>
        <v/>
      </c>
      <c r="L106" s="25" t="str">
        <f aca="true">IF(G106="","",G106-TODAY())</f>
        <v/>
      </c>
    </row>
    <row r="107" customFormat="false" ht="15" hidden="false" customHeight="true" outlineLevel="0" collapsed="false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4" t="str">
        <f aca="true">IF(H107="Pago","✓ OK",IF(G107="","",IF(G107&lt;TODAY(),"🔴 VENCIDA",IF(G107-TODAY()&lt;=7,"🟡 ATENÇÃO","🟢 OK"))))</f>
        <v/>
      </c>
      <c r="L107" s="25" t="str">
        <f aca="true">IF(G107="","",G107-TODAY())</f>
        <v/>
      </c>
    </row>
    <row r="108" customFormat="false" ht="15" hidden="false" customHeight="true" outlineLevel="0" collapsed="false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4" t="str">
        <f aca="true">IF(H108="Pago","✓ OK",IF(G108="","",IF(G108&lt;TODAY(),"🔴 VENCIDA",IF(G108-TODAY()&lt;=7,"🟡 ATENÇÃO","🟢 OK"))))</f>
        <v/>
      </c>
      <c r="L108" s="25" t="str">
        <f aca="true">IF(G108="","",G108-TODAY())</f>
        <v/>
      </c>
    </row>
    <row r="109" customFormat="false" ht="15" hidden="false" customHeight="true" outlineLevel="0" collapsed="false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4" t="str">
        <f aca="true">IF(H109="Pago","✓ OK",IF(G109="","",IF(G109&lt;TODAY(),"🔴 VENCIDA",IF(G109-TODAY()&lt;=7,"🟡 ATENÇÃO","🟢 OK"))))</f>
        <v/>
      </c>
      <c r="L109" s="25" t="str">
        <f aca="true">IF(G109="","",G109-TODAY())</f>
        <v/>
      </c>
    </row>
    <row r="110" customFormat="false" ht="15" hidden="false" customHeight="true" outlineLevel="0" collapsed="false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4" t="str">
        <f aca="true">IF(H110="Pago","✓ OK",IF(G110="","",IF(G110&lt;TODAY(),"🔴 VENCIDA",IF(G110-TODAY()&lt;=7,"🟡 ATENÇÃO","🟢 OK"))))</f>
        <v/>
      </c>
      <c r="L110" s="25" t="str">
        <f aca="true">IF(G110="","",G110-TODAY())</f>
        <v/>
      </c>
    </row>
    <row r="111" customFormat="false" ht="15" hidden="false" customHeight="true" outlineLevel="0" collapsed="false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4" t="str">
        <f aca="true">IF(H111="Pago","✓ OK",IF(G111="","",IF(G111&lt;TODAY(),"🔴 VENCIDA",IF(G111-TODAY()&lt;=7,"🟡 ATENÇÃO","🟢 OK"))))</f>
        <v/>
      </c>
      <c r="L111" s="25" t="str">
        <f aca="true">IF(G111="","",G111-TODAY())</f>
        <v/>
      </c>
    </row>
    <row r="112" customFormat="false" ht="15" hidden="false" customHeight="true" outlineLevel="0" collapsed="false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4" t="str">
        <f aca="true">IF(H112="Pago","✓ OK",IF(G112="","",IF(G112&lt;TODAY(),"🔴 VENCIDA",IF(G112-TODAY()&lt;=7,"🟡 ATENÇÃO","🟢 OK"))))</f>
        <v/>
      </c>
      <c r="L112" s="25" t="str">
        <f aca="true">IF(G112="","",G112-TODAY())</f>
        <v/>
      </c>
    </row>
    <row r="113" customFormat="false" ht="15" hidden="false" customHeight="true" outlineLevel="0" collapsed="false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4" t="str">
        <f aca="true">IF(H113="Pago","✓ OK",IF(G113="","",IF(G113&lt;TODAY(),"🔴 VENCIDA",IF(G113-TODAY()&lt;=7,"🟡 ATENÇÃO","🟢 OK"))))</f>
        <v/>
      </c>
      <c r="L113" s="25" t="str">
        <f aca="true">IF(G113="","",G113-TODAY())</f>
        <v/>
      </c>
    </row>
    <row r="114" customFormat="false" ht="15" hidden="false" customHeight="true" outlineLevel="0" collapsed="false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4" t="str">
        <f aca="true">IF(H114="Pago","✓ OK",IF(G114="","",IF(G114&lt;TODAY(),"🔴 VENCIDA",IF(G114-TODAY()&lt;=7,"🟡 ATENÇÃO","🟢 OK"))))</f>
        <v/>
      </c>
      <c r="L114" s="25" t="str">
        <f aca="true">IF(G114="","",G114-TODAY())</f>
        <v/>
      </c>
    </row>
    <row r="115" customFormat="false" ht="15" hidden="false" customHeight="true" outlineLevel="0" collapsed="false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4" t="str">
        <f aca="true">IF(H115="Pago","✓ OK",IF(G115="","",IF(G115&lt;TODAY(),"🔴 VENCIDA",IF(G115-TODAY()&lt;=7,"🟡 ATENÇÃO","🟢 OK"))))</f>
        <v/>
      </c>
      <c r="L115" s="25" t="str">
        <f aca="true">IF(G115="","",G115-TODAY())</f>
        <v/>
      </c>
    </row>
    <row r="116" customFormat="false" ht="15" hidden="false" customHeight="true" outlineLevel="0" collapsed="false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4" t="str">
        <f aca="true">IF(H116="Pago","✓ OK",IF(G116="","",IF(G116&lt;TODAY(),"🔴 VENCIDA",IF(G116-TODAY()&lt;=7,"🟡 ATENÇÃO","🟢 OK"))))</f>
        <v/>
      </c>
      <c r="L116" s="25" t="str">
        <f aca="true">IF(G116="","",G116-TODAY())</f>
        <v/>
      </c>
    </row>
    <row r="117" customFormat="false" ht="15" hidden="false" customHeight="true" outlineLevel="0" collapsed="false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4" t="str">
        <f aca="true">IF(H117="Pago","✓ OK",IF(G117="","",IF(G117&lt;TODAY(),"🔴 VENCIDA",IF(G117-TODAY()&lt;=7,"🟡 ATENÇÃO","🟢 OK"))))</f>
        <v/>
      </c>
      <c r="L117" s="25" t="str">
        <f aca="true">IF(G117="","",G117-TODAY())</f>
        <v/>
      </c>
    </row>
    <row r="118" customFormat="false" ht="15" hidden="false" customHeight="true" outlineLevel="0" collapsed="false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4" t="str">
        <f aca="true">IF(H118="Pago","✓ OK",IF(G118="","",IF(G118&lt;TODAY(),"🔴 VENCIDA",IF(G118-TODAY()&lt;=7,"🟡 ATENÇÃO","🟢 OK"))))</f>
        <v/>
      </c>
      <c r="L118" s="25" t="str">
        <f aca="true">IF(G118="","",G118-TODAY())</f>
        <v/>
      </c>
    </row>
    <row r="119" customFormat="false" ht="15" hidden="false" customHeight="true" outlineLevel="0" collapsed="false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4" t="str">
        <f aca="true">IF(H119="Pago","✓ OK",IF(G119="","",IF(G119&lt;TODAY(),"🔴 VENCIDA",IF(G119-TODAY()&lt;=7,"🟡 ATENÇÃO","🟢 OK"))))</f>
        <v/>
      </c>
      <c r="L119" s="25" t="str">
        <f aca="true">IF(G119="","",G119-TODAY())</f>
        <v/>
      </c>
    </row>
    <row r="120" customFormat="false" ht="15" hidden="false" customHeight="true" outlineLevel="0" collapsed="false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4" t="str">
        <f aca="true">IF(H120="Pago","✓ OK",IF(G120="","",IF(G120&lt;TODAY(),"🔴 VENCIDA",IF(G120-TODAY()&lt;=7,"🟡 ATENÇÃO","🟢 OK"))))</f>
        <v/>
      </c>
      <c r="L120" s="25" t="str">
        <f aca="true">IF(G120="","",G120-TODAY())</f>
        <v/>
      </c>
    </row>
    <row r="121" customFormat="false" ht="15" hidden="false" customHeight="true" outlineLevel="0" collapsed="false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4" t="str">
        <f aca="true">IF(H121="Pago","✓ OK",IF(G121="","",IF(G121&lt;TODAY(),"🔴 VENCIDA",IF(G121-TODAY()&lt;=7,"🟡 ATENÇÃO","🟢 OK"))))</f>
        <v/>
      </c>
      <c r="L121" s="25" t="str">
        <f aca="true">IF(G121="","",G121-TODAY())</f>
        <v/>
      </c>
    </row>
    <row r="122" customFormat="false" ht="15" hidden="false" customHeight="true" outlineLevel="0" collapsed="false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4" t="str">
        <f aca="true">IF(H122="Pago","✓ OK",IF(G122="","",IF(G122&lt;TODAY(),"🔴 VENCIDA",IF(G122-TODAY()&lt;=7,"🟡 ATENÇÃO","🟢 OK"))))</f>
        <v/>
      </c>
      <c r="L122" s="25" t="str">
        <f aca="true">IF(G122="","",G122-TODAY())</f>
        <v/>
      </c>
    </row>
    <row r="123" customFormat="false" ht="15" hidden="false" customHeight="true" outlineLevel="0" collapsed="false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4" t="str">
        <f aca="true">IF(H123="Pago","✓ OK",IF(G123="","",IF(G123&lt;TODAY(),"🔴 VENCIDA",IF(G123-TODAY()&lt;=7,"🟡 ATENÇÃO","🟢 OK"))))</f>
        <v/>
      </c>
      <c r="L123" s="25" t="str">
        <f aca="true">IF(G123="","",G123-TODAY())</f>
        <v/>
      </c>
    </row>
    <row r="124" customFormat="false" ht="15" hidden="false" customHeight="true" outlineLevel="0" collapsed="false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4" t="str">
        <f aca="true">IF(H124="Pago","✓ OK",IF(G124="","",IF(G124&lt;TODAY(),"🔴 VENCIDA",IF(G124-TODAY()&lt;=7,"🟡 ATENÇÃO","🟢 OK"))))</f>
        <v/>
      </c>
      <c r="L124" s="25" t="str">
        <f aca="true">IF(G124="","",G124-TODAY())</f>
        <v/>
      </c>
    </row>
    <row r="125" customFormat="false" ht="15" hidden="false" customHeight="true" outlineLevel="0" collapsed="false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4" t="str">
        <f aca="true">IF(H125="Pago","✓ OK",IF(G125="","",IF(G125&lt;TODAY(),"🔴 VENCIDA",IF(G125-TODAY()&lt;=7,"🟡 ATENÇÃO","🟢 OK"))))</f>
        <v/>
      </c>
      <c r="L125" s="25" t="str">
        <f aca="true">IF(G125="","",G125-TODAY())</f>
        <v/>
      </c>
    </row>
    <row r="126" customFormat="false" ht="15" hidden="false" customHeight="true" outlineLevel="0" collapsed="false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4" t="str">
        <f aca="true">IF(H126="Pago","✓ OK",IF(G126="","",IF(G126&lt;TODAY(),"🔴 VENCIDA",IF(G126-TODAY()&lt;=7,"🟡 ATENÇÃO","🟢 OK"))))</f>
        <v/>
      </c>
      <c r="L126" s="25" t="str">
        <f aca="true">IF(G126="","",G126-TODAY())</f>
        <v/>
      </c>
    </row>
    <row r="127" customFormat="false" ht="15" hidden="false" customHeight="true" outlineLevel="0" collapsed="false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4" t="str">
        <f aca="true">IF(H127="Pago","✓ OK",IF(G127="","",IF(G127&lt;TODAY(),"🔴 VENCIDA",IF(G127-TODAY()&lt;=7,"🟡 ATENÇÃO","🟢 OK"))))</f>
        <v/>
      </c>
      <c r="L127" s="25" t="str">
        <f aca="true">IF(G127="","",G127-TODAY())</f>
        <v/>
      </c>
    </row>
    <row r="128" customFormat="false" ht="15" hidden="false" customHeight="true" outlineLevel="0" collapsed="false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4" t="str">
        <f aca="true">IF(H128="Pago","✓ OK",IF(G128="","",IF(G128&lt;TODAY(),"🔴 VENCIDA",IF(G128-TODAY()&lt;=7,"🟡 ATENÇÃO","🟢 OK"))))</f>
        <v/>
      </c>
      <c r="L128" s="25" t="str">
        <f aca="true">IF(G128="","",G128-TODAY())</f>
        <v/>
      </c>
    </row>
    <row r="129" customFormat="false" ht="15" hidden="false" customHeight="true" outlineLevel="0" collapsed="false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4" t="str">
        <f aca="true">IF(H129="Pago","✓ OK",IF(G129="","",IF(G129&lt;TODAY(),"🔴 VENCIDA",IF(G129-TODAY()&lt;=7,"🟡 ATENÇÃO","🟢 OK"))))</f>
        <v/>
      </c>
      <c r="L129" s="25" t="str">
        <f aca="true">IF(G129="","",G129-TODAY())</f>
        <v/>
      </c>
    </row>
    <row r="130" customFormat="false" ht="15" hidden="false" customHeight="true" outlineLevel="0" collapsed="false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4" t="str">
        <f aca="true">IF(H130="Pago","✓ OK",IF(G130="","",IF(G130&lt;TODAY(),"🔴 VENCIDA",IF(G130-TODAY()&lt;=7,"🟡 ATENÇÃO","🟢 OK"))))</f>
        <v/>
      </c>
      <c r="L130" s="25" t="str">
        <f aca="true">IF(G130="","",G130-TODAY())</f>
        <v/>
      </c>
    </row>
    <row r="131" customFormat="false" ht="15" hidden="false" customHeight="true" outlineLevel="0" collapsed="false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4" t="str">
        <f aca="true">IF(H131="Pago","✓ OK",IF(G131="","",IF(G131&lt;TODAY(),"🔴 VENCIDA",IF(G131-TODAY()&lt;=7,"🟡 ATENÇÃO","🟢 OK"))))</f>
        <v/>
      </c>
      <c r="L131" s="25" t="str">
        <f aca="true">IF(G131="","",G131-TODAY())</f>
        <v/>
      </c>
    </row>
    <row r="132" customFormat="false" ht="15" hidden="false" customHeight="true" outlineLevel="0" collapsed="false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4" t="str">
        <f aca="true">IF(H132="Pago","✓ OK",IF(G132="","",IF(G132&lt;TODAY(),"🔴 VENCIDA",IF(G132-TODAY()&lt;=7,"🟡 ATENÇÃO","🟢 OK"))))</f>
        <v/>
      </c>
      <c r="L132" s="25" t="str">
        <f aca="true">IF(G132="","",G132-TODAY())</f>
        <v/>
      </c>
    </row>
    <row r="133" customFormat="false" ht="15" hidden="false" customHeight="true" outlineLevel="0" collapsed="false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4" t="str">
        <f aca="true">IF(H133="Pago","✓ OK",IF(G133="","",IF(G133&lt;TODAY(),"🔴 VENCIDA",IF(G133-TODAY()&lt;=7,"🟡 ATENÇÃO","🟢 OK"))))</f>
        <v/>
      </c>
      <c r="L133" s="25" t="str">
        <f aca="true">IF(G133="","",G133-TODAY())</f>
        <v/>
      </c>
    </row>
    <row r="134" customFormat="false" ht="15" hidden="false" customHeight="true" outlineLevel="0" collapsed="false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4" t="str">
        <f aca="true">IF(H134="Pago","✓ OK",IF(G134="","",IF(G134&lt;TODAY(),"🔴 VENCIDA",IF(G134-TODAY()&lt;=7,"🟡 ATENÇÃO","🟢 OK"))))</f>
        <v/>
      </c>
      <c r="L134" s="25" t="str">
        <f aca="true">IF(G134="","",G134-TODAY())</f>
        <v/>
      </c>
    </row>
    <row r="135" customFormat="false" ht="15" hidden="false" customHeight="true" outlineLevel="0" collapsed="false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4" t="str">
        <f aca="true">IF(H135="Pago","✓ OK",IF(G135="","",IF(G135&lt;TODAY(),"🔴 VENCIDA",IF(G135-TODAY()&lt;=7,"🟡 ATENÇÃO","🟢 OK"))))</f>
        <v/>
      </c>
      <c r="L135" s="25" t="str">
        <f aca="true">IF(G135="","",G135-TODAY())</f>
        <v/>
      </c>
    </row>
    <row r="136" customFormat="false" ht="15" hidden="false" customHeight="true" outlineLevel="0" collapsed="false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4" t="str">
        <f aca="true">IF(H136="Pago","✓ OK",IF(G136="","",IF(G136&lt;TODAY(),"🔴 VENCIDA",IF(G136-TODAY()&lt;=7,"🟡 ATENÇÃO","🟢 OK"))))</f>
        <v/>
      </c>
      <c r="L136" s="25" t="str">
        <f aca="true">IF(G136="","",G136-TODAY())</f>
        <v/>
      </c>
    </row>
    <row r="137" customFormat="false" ht="15" hidden="false" customHeight="true" outlineLevel="0" collapsed="false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4" t="str">
        <f aca="true">IF(H137="Pago","✓ OK",IF(G137="","",IF(G137&lt;TODAY(),"🔴 VENCIDA",IF(G137-TODAY()&lt;=7,"🟡 ATENÇÃO","🟢 OK"))))</f>
        <v/>
      </c>
      <c r="L137" s="25" t="str">
        <f aca="true">IF(G137="","",G137-TODAY())</f>
        <v/>
      </c>
    </row>
    <row r="138" customFormat="false" ht="15" hidden="false" customHeight="true" outlineLevel="0" collapsed="false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4" t="str">
        <f aca="true">IF(H138="Pago","✓ OK",IF(G138="","",IF(G138&lt;TODAY(),"🔴 VENCIDA",IF(G138-TODAY()&lt;=7,"🟡 ATENÇÃO","🟢 OK"))))</f>
        <v/>
      </c>
      <c r="L138" s="25" t="str">
        <f aca="true">IF(G138="","",G138-TODAY())</f>
        <v/>
      </c>
    </row>
    <row r="139" customFormat="false" ht="15" hidden="false" customHeight="true" outlineLevel="0" collapsed="false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4" t="str">
        <f aca="true">IF(H139="Pago","✓ OK",IF(G139="","",IF(G139&lt;TODAY(),"🔴 VENCIDA",IF(G139-TODAY()&lt;=7,"🟡 ATENÇÃO","🟢 OK"))))</f>
        <v/>
      </c>
      <c r="L139" s="25" t="str">
        <f aca="true">IF(G139="","",G139-TODAY())</f>
        <v/>
      </c>
    </row>
    <row r="140" customFormat="false" ht="15" hidden="false" customHeight="true" outlineLevel="0" collapsed="false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4" t="str">
        <f aca="true">IF(H140="Pago","✓ OK",IF(G140="","",IF(G140&lt;TODAY(),"🔴 VENCIDA",IF(G140-TODAY()&lt;=7,"🟡 ATENÇÃO","🟢 OK"))))</f>
        <v/>
      </c>
      <c r="L140" s="25" t="str">
        <f aca="true">IF(G140="","",G140-TODAY())</f>
        <v/>
      </c>
    </row>
    <row r="141" customFormat="false" ht="15" hidden="false" customHeight="true" outlineLevel="0" collapsed="false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4" t="str">
        <f aca="true">IF(H141="Pago","✓ OK",IF(G141="","",IF(G141&lt;TODAY(),"🔴 VENCIDA",IF(G141-TODAY()&lt;=7,"🟡 ATENÇÃO","🟢 OK"))))</f>
        <v/>
      </c>
      <c r="L141" s="25" t="str">
        <f aca="true">IF(G141="","",G141-TODAY())</f>
        <v/>
      </c>
    </row>
    <row r="142" customFormat="false" ht="15" hidden="false" customHeight="true" outlineLevel="0" collapsed="false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4" t="str">
        <f aca="true">IF(H142="Pago","✓ OK",IF(G142="","",IF(G142&lt;TODAY(),"🔴 VENCIDA",IF(G142-TODAY()&lt;=7,"🟡 ATENÇÃO","🟢 OK"))))</f>
        <v/>
      </c>
      <c r="L142" s="25" t="str">
        <f aca="true">IF(G142="","",G142-TODAY())</f>
        <v/>
      </c>
    </row>
    <row r="143" customFormat="false" ht="15" hidden="false" customHeight="true" outlineLevel="0" collapsed="false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4" t="str">
        <f aca="true">IF(H143="Pago","✓ OK",IF(G143="","",IF(G143&lt;TODAY(),"🔴 VENCIDA",IF(G143-TODAY()&lt;=7,"🟡 ATENÇÃO","🟢 OK"))))</f>
        <v/>
      </c>
      <c r="L143" s="25" t="str">
        <f aca="true">IF(G143="","",G143-TODAY())</f>
        <v/>
      </c>
    </row>
    <row r="144" customFormat="false" ht="15" hidden="false" customHeight="true" outlineLevel="0" collapsed="false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4" t="str">
        <f aca="true">IF(H144="Pago","✓ OK",IF(G144="","",IF(G144&lt;TODAY(),"🔴 VENCIDA",IF(G144-TODAY()&lt;=7,"🟡 ATENÇÃO","🟢 OK"))))</f>
        <v/>
      </c>
      <c r="L144" s="25" t="str">
        <f aca="true">IF(G144="","",G144-TODAY())</f>
        <v/>
      </c>
    </row>
    <row r="145" customFormat="false" ht="15" hidden="false" customHeight="true" outlineLevel="0" collapsed="false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4" t="str">
        <f aca="true">IF(H145="Pago","✓ OK",IF(G145="","",IF(G145&lt;TODAY(),"🔴 VENCIDA",IF(G145-TODAY()&lt;=7,"🟡 ATENÇÃO","🟢 OK"))))</f>
        <v/>
      </c>
      <c r="L145" s="25" t="str">
        <f aca="true">IF(G145="","",G145-TODAY())</f>
        <v/>
      </c>
    </row>
    <row r="146" customFormat="false" ht="15" hidden="false" customHeight="true" outlineLevel="0" collapsed="false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4" t="str">
        <f aca="true">IF(H146="Pago","✓ OK",IF(G146="","",IF(G146&lt;TODAY(),"🔴 VENCIDA",IF(G146-TODAY()&lt;=7,"🟡 ATENÇÃO","🟢 OK"))))</f>
        <v/>
      </c>
      <c r="L146" s="25" t="str">
        <f aca="true">IF(G146="","",G146-TODAY())</f>
        <v/>
      </c>
    </row>
    <row r="147" customFormat="false" ht="15" hidden="false" customHeight="true" outlineLevel="0" collapsed="false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4" t="str">
        <f aca="true">IF(H147="Pago","✓ OK",IF(G147="","",IF(G147&lt;TODAY(),"🔴 VENCIDA",IF(G147-TODAY()&lt;=7,"🟡 ATENÇÃO","🟢 OK"))))</f>
        <v/>
      </c>
      <c r="L147" s="25" t="str">
        <f aca="true">IF(G147="","",G147-TODAY())</f>
        <v/>
      </c>
    </row>
    <row r="148" customFormat="false" ht="15" hidden="false" customHeight="true" outlineLevel="0" collapsed="false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4" t="str">
        <f aca="true">IF(H148="Pago","✓ OK",IF(G148="","",IF(G148&lt;TODAY(),"🔴 VENCIDA",IF(G148-TODAY()&lt;=7,"🟡 ATENÇÃO","🟢 OK"))))</f>
        <v/>
      </c>
      <c r="L148" s="25" t="str">
        <f aca="true">IF(G148="","",G148-TODAY())</f>
        <v/>
      </c>
    </row>
    <row r="149" customFormat="false" ht="15" hidden="false" customHeight="true" outlineLevel="0" collapsed="false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4" t="str">
        <f aca="true">IF(H149="Pago","✓ OK",IF(G149="","",IF(G149&lt;TODAY(),"🔴 VENCIDA",IF(G149-TODAY()&lt;=7,"🟡 ATENÇÃO","🟢 OK"))))</f>
        <v/>
      </c>
      <c r="L149" s="25" t="str">
        <f aca="true">IF(G149="","",G149-TODAY())</f>
        <v/>
      </c>
    </row>
    <row r="150" customFormat="false" ht="15" hidden="false" customHeight="true" outlineLevel="0" collapsed="false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4" t="str">
        <f aca="true">IF(H150="Pago","✓ OK",IF(G150="","",IF(G150&lt;TODAY(),"🔴 VENCIDA",IF(G150-TODAY()&lt;=7,"🟡 ATENÇÃO","🟢 OK"))))</f>
        <v/>
      </c>
      <c r="L150" s="25" t="str">
        <f aca="true">IF(G150="","",G150-TODAY())</f>
        <v/>
      </c>
    </row>
    <row r="151" customFormat="false" ht="15" hidden="false" customHeight="true" outlineLevel="0" collapsed="false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4" t="str">
        <f aca="true">IF(H151="Pago","✓ OK",IF(G151="","",IF(G151&lt;TODAY(),"🔴 VENCIDA",IF(G151-TODAY()&lt;=7,"🟡 ATENÇÃO","🟢 OK"))))</f>
        <v/>
      </c>
      <c r="L151" s="25" t="str">
        <f aca="true">IF(G151="","",G151-TODAY())</f>
        <v/>
      </c>
    </row>
    <row r="152" customFormat="false" ht="15" hidden="false" customHeight="true" outlineLevel="0" collapsed="false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4" t="str">
        <f aca="true">IF(H152="Pago","✓ OK",IF(G152="","",IF(G152&lt;TODAY(),"🔴 VENCIDA",IF(G152-TODAY()&lt;=7,"🟡 ATENÇÃO","🟢 OK"))))</f>
        <v/>
      </c>
      <c r="L152" s="25" t="str">
        <f aca="true">IF(G152="","",G152-TODAY())</f>
        <v/>
      </c>
    </row>
    <row r="153" customFormat="false" ht="15" hidden="false" customHeight="true" outlineLevel="0" collapsed="false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4" t="str">
        <f aca="true">IF(H153="Pago","✓ OK",IF(G153="","",IF(G153&lt;TODAY(),"🔴 VENCIDA",IF(G153-TODAY()&lt;=7,"🟡 ATENÇÃO","🟢 OK"))))</f>
        <v/>
      </c>
      <c r="L153" s="25" t="str">
        <f aca="true">IF(G153="","",G153-TODAY())</f>
        <v/>
      </c>
    </row>
    <row r="154" customFormat="false" ht="15" hidden="false" customHeight="true" outlineLevel="0" collapsed="false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4" t="str">
        <f aca="true">IF(H154="Pago","✓ OK",IF(G154="","",IF(G154&lt;TODAY(),"🔴 VENCIDA",IF(G154-TODAY()&lt;=7,"🟡 ATENÇÃO","🟢 OK"))))</f>
        <v/>
      </c>
      <c r="L154" s="25" t="str">
        <f aca="true">IF(G154="","",G154-TODAY())</f>
        <v/>
      </c>
    </row>
    <row r="155" customFormat="false" ht="15" hidden="false" customHeight="true" outlineLevel="0" collapsed="false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4" t="str">
        <f aca="true">IF(H155="Pago","✓ OK",IF(G155="","",IF(G155&lt;TODAY(),"🔴 VENCIDA",IF(G155-TODAY()&lt;=7,"🟡 ATENÇÃO","🟢 OK"))))</f>
        <v/>
      </c>
      <c r="L155" s="25" t="str">
        <f aca="true">IF(G155="","",G155-TODAY())</f>
        <v/>
      </c>
    </row>
    <row r="156" customFormat="false" ht="15" hidden="false" customHeight="true" outlineLevel="0" collapsed="false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4" t="str">
        <f aca="true">IF(H156="Pago","✓ OK",IF(G156="","",IF(G156&lt;TODAY(),"🔴 VENCIDA",IF(G156-TODAY()&lt;=7,"🟡 ATENÇÃO","🟢 OK"))))</f>
        <v/>
      </c>
      <c r="L156" s="25" t="str">
        <f aca="true">IF(G156="","",G156-TODAY())</f>
        <v/>
      </c>
    </row>
    <row r="157" customFormat="false" ht="15" hidden="false" customHeight="true" outlineLevel="0" collapsed="false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4" t="str">
        <f aca="true">IF(H157="Pago","✓ OK",IF(G157="","",IF(G157&lt;TODAY(),"🔴 VENCIDA",IF(G157-TODAY()&lt;=7,"🟡 ATENÇÃO","🟢 OK"))))</f>
        <v/>
      </c>
      <c r="L157" s="25" t="str">
        <f aca="true">IF(G157="","",G157-TODAY())</f>
        <v/>
      </c>
    </row>
    <row r="158" customFormat="false" ht="15" hidden="false" customHeight="true" outlineLevel="0" collapsed="false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4" t="str">
        <f aca="true">IF(H158="Pago","✓ OK",IF(G158="","",IF(G158&lt;TODAY(),"🔴 VENCIDA",IF(G158-TODAY()&lt;=7,"🟡 ATENÇÃO","🟢 OK"))))</f>
        <v/>
      </c>
      <c r="L158" s="25" t="str">
        <f aca="true">IF(G158="","",G158-TODAY())</f>
        <v/>
      </c>
    </row>
    <row r="159" customFormat="false" ht="15" hidden="false" customHeight="true" outlineLevel="0" collapsed="false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4" t="str">
        <f aca="true">IF(H159="Pago","✓ OK",IF(G159="","",IF(G159&lt;TODAY(),"🔴 VENCIDA",IF(G159-TODAY()&lt;=7,"🟡 ATENÇÃO","🟢 OK"))))</f>
        <v/>
      </c>
      <c r="L159" s="25" t="str">
        <f aca="true">IF(G159="","",G159-TODAY())</f>
        <v/>
      </c>
    </row>
    <row r="160" customFormat="false" ht="15" hidden="false" customHeight="true" outlineLevel="0" collapsed="false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4" t="str">
        <f aca="true">IF(H160="Pago","✓ OK",IF(G160="","",IF(G160&lt;TODAY(),"🔴 VENCIDA",IF(G160-TODAY()&lt;=7,"🟡 ATENÇÃO","🟢 OK"))))</f>
        <v/>
      </c>
      <c r="L160" s="25" t="str">
        <f aca="true">IF(G160="","",G160-TODAY())</f>
        <v/>
      </c>
    </row>
    <row r="161" customFormat="false" ht="15" hidden="false" customHeight="true" outlineLevel="0" collapsed="false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4" t="str">
        <f aca="true">IF(H161="Pago","✓ OK",IF(G161="","",IF(G161&lt;TODAY(),"🔴 VENCIDA",IF(G161-TODAY()&lt;=7,"🟡 ATENÇÃO","🟢 OK"))))</f>
        <v/>
      </c>
      <c r="L161" s="25" t="str">
        <f aca="true">IF(G161="","",G161-TODAY())</f>
        <v/>
      </c>
    </row>
    <row r="162" customFormat="false" ht="15" hidden="false" customHeight="true" outlineLevel="0" collapsed="false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4" t="str">
        <f aca="true">IF(H162="Pago","✓ OK",IF(G162="","",IF(G162&lt;TODAY(),"🔴 VENCIDA",IF(G162-TODAY()&lt;=7,"🟡 ATENÇÃO","🟢 OK"))))</f>
        <v/>
      </c>
      <c r="L162" s="25" t="str">
        <f aca="true">IF(G162="","",G162-TODAY())</f>
        <v/>
      </c>
    </row>
    <row r="163" customFormat="false" ht="15" hidden="false" customHeight="true" outlineLevel="0" collapsed="false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4" t="str">
        <f aca="true">IF(H163="Pago","✓ OK",IF(G163="","",IF(G163&lt;TODAY(),"🔴 VENCIDA",IF(G163-TODAY()&lt;=7,"🟡 ATENÇÃO","🟢 OK"))))</f>
        <v/>
      </c>
      <c r="L163" s="25" t="str">
        <f aca="true">IF(G163="","",G163-TODAY())</f>
        <v/>
      </c>
    </row>
    <row r="164" customFormat="false" ht="15" hidden="false" customHeight="true" outlineLevel="0" collapsed="false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4" t="str">
        <f aca="true">IF(H164="Pago","✓ OK",IF(G164="","",IF(G164&lt;TODAY(),"🔴 VENCIDA",IF(G164-TODAY()&lt;=7,"🟡 ATENÇÃO","🟢 OK"))))</f>
        <v/>
      </c>
      <c r="L164" s="25" t="str">
        <f aca="true">IF(G164="","",G164-TODAY())</f>
        <v/>
      </c>
    </row>
    <row r="165" customFormat="false" ht="15" hidden="false" customHeight="true" outlineLevel="0" collapsed="false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4" t="str">
        <f aca="true">IF(H165="Pago","✓ OK",IF(G165="","",IF(G165&lt;TODAY(),"🔴 VENCIDA",IF(G165-TODAY()&lt;=7,"🟡 ATENÇÃO","🟢 OK"))))</f>
        <v/>
      </c>
      <c r="L165" s="25" t="str">
        <f aca="true">IF(G165="","",G165-TODAY())</f>
        <v/>
      </c>
    </row>
    <row r="166" customFormat="false" ht="15" hidden="false" customHeight="true" outlineLevel="0" collapsed="false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4" t="str">
        <f aca="true">IF(H166="Pago","✓ OK",IF(G166="","",IF(G166&lt;TODAY(),"🔴 VENCIDA",IF(G166-TODAY()&lt;=7,"🟡 ATENÇÃO","🟢 OK"))))</f>
        <v/>
      </c>
      <c r="L166" s="25" t="str">
        <f aca="true">IF(G166="","",G166-TODAY())</f>
        <v/>
      </c>
    </row>
    <row r="167" customFormat="false" ht="15" hidden="false" customHeight="true" outlineLevel="0" collapsed="false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4" t="str">
        <f aca="true">IF(H167="Pago","✓ OK",IF(G167="","",IF(G167&lt;TODAY(),"🔴 VENCIDA",IF(G167-TODAY()&lt;=7,"🟡 ATENÇÃO","🟢 OK"))))</f>
        <v/>
      </c>
      <c r="L167" s="25" t="str">
        <f aca="true">IF(G167="","",G167-TODAY())</f>
        <v/>
      </c>
    </row>
    <row r="168" customFormat="false" ht="15" hidden="false" customHeight="true" outlineLevel="0" collapsed="false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4" t="str">
        <f aca="true">IF(H168="Pago","✓ OK",IF(G168="","",IF(G168&lt;TODAY(),"🔴 VENCIDA",IF(G168-TODAY()&lt;=7,"🟡 ATENÇÃO","🟢 OK"))))</f>
        <v/>
      </c>
      <c r="L168" s="25" t="str">
        <f aca="true">IF(G168="","",G168-TODAY())</f>
        <v/>
      </c>
    </row>
    <row r="169" customFormat="false" ht="15" hidden="false" customHeight="true" outlineLevel="0" collapsed="false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4" t="str">
        <f aca="true">IF(H169="Pago","✓ OK",IF(G169="","",IF(G169&lt;TODAY(),"🔴 VENCIDA",IF(G169-TODAY()&lt;=7,"🟡 ATENÇÃO","🟢 OK"))))</f>
        <v/>
      </c>
      <c r="L169" s="25" t="str">
        <f aca="true">IF(G169="","",G169-TODAY())</f>
        <v/>
      </c>
    </row>
    <row r="170" customFormat="false" ht="15" hidden="false" customHeight="true" outlineLevel="0" collapsed="false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4" t="str">
        <f aca="true">IF(H170="Pago","✓ OK",IF(G170="","",IF(G170&lt;TODAY(),"🔴 VENCIDA",IF(G170-TODAY()&lt;=7,"🟡 ATENÇÃO","🟢 OK"))))</f>
        <v/>
      </c>
      <c r="L170" s="25" t="str">
        <f aca="true">IF(G170="","",G170-TODAY())</f>
        <v/>
      </c>
    </row>
    <row r="171" customFormat="false" ht="15" hidden="false" customHeight="true" outlineLevel="0" collapsed="false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4" t="str">
        <f aca="true">IF(H171="Pago","✓ OK",IF(G171="","",IF(G171&lt;TODAY(),"🔴 VENCIDA",IF(G171-TODAY()&lt;=7,"🟡 ATENÇÃO","🟢 OK"))))</f>
        <v/>
      </c>
      <c r="L171" s="25" t="str">
        <f aca="true">IF(G171="","",G171-TODAY())</f>
        <v/>
      </c>
    </row>
    <row r="172" customFormat="false" ht="15" hidden="false" customHeight="true" outlineLevel="0" collapsed="false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4" t="str">
        <f aca="true">IF(H172="Pago","✓ OK",IF(G172="","",IF(G172&lt;TODAY(),"🔴 VENCIDA",IF(G172-TODAY()&lt;=7,"🟡 ATENÇÃO","🟢 OK"))))</f>
        <v/>
      </c>
      <c r="L172" s="25" t="str">
        <f aca="true">IF(G172="","",G172-TODAY())</f>
        <v/>
      </c>
    </row>
    <row r="173" customFormat="false" ht="15" hidden="false" customHeight="true" outlineLevel="0" collapsed="false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4" t="str">
        <f aca="true">IF(H173="Pago","✓ OK",IF(G173="","",IF(G173&lt;TODAY(),"🔴 VENCIDA",IF(G173-TODAY()&lt;=7,"🟡 ATENÇÃO","🟢 OK"))))</f>
        <v/>
      </c>
      <c r="L173" s="25" t="str">
        <f aca="true">IF(G173="","",G173-TODAY())</f>
        <v/>
      </c>
    </row>
    <row r="174" customFormat="false" ht="15" hidden="false" customHeight="true" outlineLevel="0" collapsed="false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4" t="str">
        <f aca="true">IF(H174="Pago","✓ OK",IF(G174="","",IF(G174&lt;TODAY(),"🔴 VENCIDA",IF(G174-TODAY()&lt;=7,"🟡 ATENÇÃO","🟢 OK"))))</f>
        <v/>
      </c>
      <c r="L174" s="25" t="str">
        <f aca="true">IF(G174="","",G174-TODAY())</f>
        <v/>
      </c>
    </row>
    <row r="175" customFormat="false" ht="15" hidden="false" customHeight="true" outlineLevel="0" collapsed="false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4" t="str">
        <f aca="true">IF(H175="Pago","✓ OK",IF(G175="","",IF(G175&lt;TODAY(),"🔴 VENCIDA",IF(G175-TODAY()&lt;=7,"🟡 ATENÇÃO","🟢 OK"))))</f>
        <v/>
      </c>
      <c r="L175" s="25" t="str">
        <f aca="true">IF(G175="","",G175-TODAY())</f>
        <v/>
      </c>
    </row>
    <row r="176" customFormat="false" ht="15" hidden="false" customHeight="true" outlineLevel="0" collapsed="false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4" t="str">
        <f aca="true">IF(H176="Pago","✓ OK",IF(G176="","",IF(G176&lt;TODAY(),"🔴 VENCIDA",IF(G176-TODAY()&lt;=7,"🟡 ATENÇÃO","🟢 OK"))))</f>
        <v/>
      </c>
      <c r="L176" s="25" t="str">
        <f aca="true">IF(G176="","",G176-TODAY())</f>
        <v/>
      </c>
    </row>
    <row r="177" customFormat="false" ht="15" hidden="false" customHeight="true" outlineLevel="0" collapsed="false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4" t="str">
        <f aca="true">IF(H177="Pago","✓ OK",IF(G177="","",IF(G177&lt;TODAY(),"🔴 VENCIDA",IF(G177-TODAY()&lt;=7,"🟡 ATENÇÃO","🟢 OK"))))</f>
        <v/>
      </c>
      <c r="L177" s="25" t="str">
        <f aca="true">IF(G177="","",G177-TODAY())</f>
        <v/>
      </c>
    </row>
    <row r="178" customFormat="false" ht="15" hidden="false" customHeight="true" outlineLevel="0" collapsed="false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4" t="str">
        <f aca="true">IF(H178="Pago","✓ OK",IF(G178="","",IF(G178&lt;TODAY(),"🔴 VENCIDA",IF(G178-TODAY()&lt;=7,"🟡 ATENÇÃO","🟢 OK"))))</f>
        <v/>
      </c>
      <c r="L178" s="25" t="str">
        <f aca="true">IF(G178="","",G178-TODAY())</f>
        <v/>
      </c>
    </row>
    <row r="179" customFormat="false" ht="15" hidden="false" customHeight="true" outlineLevel="0" collapsed="false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4" t="str">
        <f aca="true">IF(H179="Pago","✓ OK",IF(G179="","",IF(G179&lt;TODAY(),"🔴 VENCIDA",IF(G179-TODAY()&lt;=7,"🟡 ATENÇÃO","🟢 OK"))))</f>
        <v/>
      </c>
      <c r="L179" s="25" t="str">
        <f aca="true">IF(G179="","",G179-TODAY())</f>
        <v/>
      </c>
    </row>
    <row r="180" customFormat="false" ht="15" hidden="false" customHeight="true" outlineLevel="0" collapsed="false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4" t="str">
        <f aca="true">IF(H180="Pago","✓ OK",IF(G180="","",IF(G180&lt;TODAY(),"🔴 VENCIDA",IF(G180-TODAY()&lt;=7,"🟡 ATENÇÃO","🟢 OK"))))</f>
        <v/>
      </c>
      <c r="L180" s="25" t="str">
        <f aca="true">IF(G180="","",G180-TODAY())</f>
        <v/>
      </c>
    </row>
    <row r="181" customFormat="false" ht="15" hidden="false" customHeight="true" outlineLevel="0" collapsed="false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4" t="str">
        <f aca="true">IF(H181="Pago","✓ OK",IF(G181="","",IF(G181&lt;TODAY(),"🔴 VENCIDA",IF(G181-TODAY()&lt;=7,"🟡 ATENÇÃO","🟢 OK"))))</f>
        <v/>
      </c>
      <c r="L181" s="25" t="str">
        <f aca="true">IF(G181="","",G181-TODAY())</f>
        <v/>
      </c>
    </row>
    <row r="182" customFormat="false" ht="15" hidden="false" customHeight="true" outlineLevel="0" collapsed="false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4" t="str">
        <f aca="true">IF(H182="Pago","✓ OK",IF(G182="","",IF(G182&lt;TODAY(),"🔴 VENCIDA",IF(G182-TODAY()&lt;=7,"🟡 ATENÇÃO","🟢 OK"))))</f>
        <v/>
      </c>
      <c r="L182" s="25" t="str">
        <f aca="true">IF(G182="","",G182-TODAY())</f>
        <v/>
      </c>
    </row>
    <row r="183" customFormat="false" ht="15" hidden="false" customHeight="true" outlineLevel="0" collapsed="false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4" t="str">
        <f aca="true">IF(H183="Pago","✓ OK",IF(G183="","",IF(G183&lt;TODAY(),"🔴 VENCIDA",IF(G183-TODAY()&lt;=7,"🟡 ATENÇÃO","🟢 OK"))))</f>
        <v/>
      </c>
      <c r="L183" s="25" t="str">
        <f aca="true">IF(G183="","",G183-TODAY())</f>
        <v/>
      </c>
    </row>
    <row r="184" customFormat="false" ht="15" hidden="false" customHeight="true" outlineLevel="0" collapsed="false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4" t="str">
        <f aca="true">IF(H184="Pago","✓ OK",IF(G184="","",IF(G184&lt;TODAY(),"🔴 VENCIDA",IF(G184-TODAY()&lt;=7,"🟡 ATENÇÃO","🟢 OK"))))</f>
        <v/>
      </c>
      <c r="L184" s="25" t="str">
        <f aca="true">IF(G184="","",G184-TODAY())</f>
        <v/>
      </c>
    </row>
    <row r="185" customFormat="false" ht="15" hidden="false" customHeight="true" outlineLevel="0" collapsed="false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4" t="str">
        <f aca="true">IF(H185="Pago","✓ OK",IF(G185="","",IF(G185&lt;TODAY(),"🔴 VENCIDA",IF(G185-TODAY()&lt;=7,"🟡 ATENÇÃO","🟢 OK"))))</f>
        <v/>
      </c>
      <c r="L185" s="25" t="str">
        <f aca="true">IF(G185="","",G185-TODAY())</f>
        <v/>
      </c>
    </row>
    <row r="186" customFormat="false" ht="15" hidden="false" customHeight="true" outlineLevel="0" collapsed="false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4" t="str">
        <f aca="true">IF(H186="Pago","✓ OK",IF(G186="","",IF(G186&lt;TODAY(),"🔴 VENCIDA",IF(G186-TODAY()&lt;=7,"🟡 ATENÇÃO","🟢 OK"))))</f>
        <v/>
      </c>
      <c r="L186" s="25" t="str">
        <f aca="true">IF(G186="","",G186-TODAY())</f>
        <v/>
      </c>
    </row>
    <row r="187" customFormat="false" ht="15" hidden="false" customHeight="true" outlineLevel="0" collapsed="false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4" t="str">
        <f aca="true">IF(H187="Pago","✓ OK",IF(G187="","",IF(G187&lt;TODAY(),"🔴 VENCIDA",IF(G187-TODAY()&lt;=7,"🟡 ATENÇÃO","🟢 OK"))))</f>
        <v/>
      </c>
      <c r="L187" s="25" t="str">
        <f aca="true">IF(G187="","",G187-TODAY())</f>
        <v/>
      </c>
    </row>
    <row r="188" customFormat="false" ht="15" hidden="false" customHeight="true" outlineLevel="0" collapsed="false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4" t="str">
        <f aca="true">IF(H188="Pago","✓ OK",IF(G188="","",IF(G188&lt;TODAY(),"🔴 VENCIDA",IF(G188-TODAY()&lt;=7,"🟡 ATENÇÃO","🟢 OK"))))</f>
        <v/>
      </c>
      <c r="L188" s="25" t="str">
        <f aca="true">IF(G188="","",G188-TODAY())</f>
        <v/>
      </c>
    </row>
    <row r="189" customFormat="false" ht="15" hidden="false" customHeight="true" outlineLevel="0" collapsed="false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4" t="str">
        <f aca="true">IF(H189="Pago","✓ OK",IF(G189="","",IF(G189&lt;TODAY(),"🔴 VENCIDA",IF(G189-TODAY()&lt;=7,"🟡 ATENÇÃO","🟢 OK"))))</f>
        <v/>
      </c>
      <c r="L189" s="25" t="str">
        <f aca="true">IF(G189="","",G189-TODAY())</f>
        <v/>
      </c>
    </row>
    <row r="190" customFormat="false" ht="15" hidden="false" customHeight="true" outlineLevel="0" collapsed="false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4" t="str">
        <f aca="true">IF(H190="Pago","✓ OK",IF(G190="","",IF(G190&lt;TODAY(),"🔴 VENCIDA",IF(G190-TODAY()&lt;=7,"🟡 ATENÇÃO","🟢 OK"))))</f>
        <v/>
      </c>
      <c r="L190" s="25" t="str">
        <f aca="true">IF(G190="","",G190-TODAY())</f>
        <v/>
      </c>
    </row>
    <row r="191" customFormat="false" ht="15" hidden="false" customHeight="true" outlineLevel="0" collapsed="false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4" t="str">
        <f aca="true">IF(H191="Pago","✓ OK",IF(G191="","",IF(G191&lt;TODAY(),"🔴 VENCIDA",IF(G191-TODAY()&lt;=7,"🟡 ATENÇÃO","🟢 OK"))))</f>
        <v/>
      </c>
      <c r="L191" s="25" t="str">
        <f aca="true">IF(G191="","",G191-TODAY())</f>
        <v/>
      </c>
    </row>
    <row r="192" customFormat="false" ht="15" hidden="false" customHeight="true" outlineLevel="0" collapsed="false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4" t="str">
        <f aca="true">IF(H192="Pago","✓ OK",IF(G192="","",IF(G192&lt;TODAY(),"🔴 VENCIDA",IF(G192-TODAY()&lt;=7,"🟡 ATENÇÃO","🟢 OK"))))</f>
        <v/>
      </c>
      <c r="L192" s="25" t="str">
        <f aca="true">IF(G192="","",G192-TODAY())</f>
        <v/>
      </c>
    </row>
    <row r="193" customFormat="false" ht="15" hidden="false" customHeight="true" outlineLevel="0" collapsed="false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4" t="str">
        <f aca="true">IF(H193="Pago","✓ OK",IF(G193="","",IF(G193&lt;TODAY(),"🔴 VENCIDA",IF(G193-TODAY()&lt;=7,"🟡 ATENÇÃO","🟢 OK"))))</f>
        <v/>
      </c>
      <c r="L193" s="25" t="str">
        <f aca="true">IF(G193="","",G193-TODAY())</f>
        <v/>
      </c>
    </row>
    <row r="194" customFormat="false" ht="15" hidden="false" customHeight="true" outlineLevel="0" collapsed="false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4" t="str">
        <f aca="true">IF(H194="Pago","✓ OK",IF(G194="","",IF(G194&lt;TODAY(),"🔴 VENCIDA",IF(G194-TODAY()&lt;=7,"🟡 ATENÇÃO","🟢 OK"))))</f>
        <v/>
      </c>
      <c r="L194" s="25" t="str">
        <f aca="true">IF(G194="","",G194-TODAY())</f>
        <v/>
      </c>
    </row>
    <row r="195" customFormat="false" ht="15" hidden="false" customHeight="true" outlineLevel="0" collapsed="false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4" t="str">
        <f aca="true">IF(H195="Pago","✓ OK",IF(G195="","",IF(G195&lt;TODAY(),"🔴 VENCIDA",IF(G195-TODAY()&lt;=7,"🟡 ATENÇÃO","🟢 OK"))))</f>
        <v/>
      </c>
      <c r="L195" s="25" t="str">
        <f aca="true">IF(G195="","",G195-TODAY())</f>
        <v/>
      </c>
    </row>
    <row r="196" customFormat="false" ht="15" hidden="false" customHeight="true" outlineLevel="0" collapsed="false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4" t="str">
        <f aca="true">IF(H196="Pago","✓ OK",IF(G196="","",IF(G196&lt;TODAY(),"🔴 VENCIDA",IF(G196-TODAY()&lt;=7,"🟡 ATENÇÃO","🟢 OK"))))</f>
        <v/>
      </c>
      <c r="L196" s="25" t="str">
        <f aca="true">IF(G196="","",G196-TODAY())</f>
        <v/>
      </c>
    </row>
    <row r="197" customFormat="false" ht="15" hidden="false" customHeight="true" outlineLevel="0" collapsed="false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4" t="str">
        <f aca="true">IF(H197="Pago","✓ OK",IF(G197="","",IF(G197&lt;TODAY(),"🔴 VENCIDA",IF(G197-TODAY()&lt;=7,"🟡 ATENÇÃO","🟢 OK"))))</f>
        <v/>
      </c>
      <c r="L197" s="25" t="str">
        <f aca="true">IF(G197="","",G197-TODAY())</f>
        <v/>
      </c>
    </row>
    <row r="198" customFormat="false" ht="15" hidden="false" customHeight="true" outlineLevel="0" collapsed="false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4" t="str">
        <f aca="true">IF(H198="Pago","✓ OK",IF(G198="","",IF(G198&lt;TODAY(),"🔴 VENCIDA",IF(G198-TODAY()&lt;=7,"🟡 ATENÇÃO","🟢 OK"))))</f>
        <v/>
      </c>
      <c r="L198" s="25" t="str">
        <f aca="true">IF(G198="","",G198-TODAY())</f>
        <v/>
      </c>
    </row>
    <row r="199" customFormat="false" ht="15" hidden="false" customHeight="true" outlineLevel="0" collapsed="false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4" t="str">
        <f aca="true">IF(H199="Pago","✓ OK",IF(G199="","",IF(G199&lt;TODAY(),"🔴 VENCIDA",IF(G199-TODAY()&lt;=7,"🟡 ATENÇÃO","🟢 OK"))))</f>
        <v/>
      </c>
      <c r="L199" s="25" t="str">
        <f aca="true">IF(G199="","",G199-TODAY())</f>
        <v/>
      </c>
    </row>
    <row r="200" customFormat="false" ht="15" hidden="false" customHeight="true" outlineLevel="0" collapsed="false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4" t="str">
        <f aca="true">IF(H200="Pago","✓ OK",IF(G200="","",IF(G200&lt;TODAY(),"🔴 VENCIDA",IF(G200-TODAY()&lt;=7,"🟡 ATENÇÃO","🟢 OK"))))</f>
        <v/>
      </c>
      <c r="L200" s="25" t="str">
        <f aca="true">IF(G200="","",G200-TODAY())</f>
        <v/>
      </c>
    </row>
    <row r="201" customFormat="false" ht="15" hidden="false" customHeight="true" outlineLevel="0" collapsed="false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4" t="str">
        <f aca="true">IF(H201="Pago","✓ OK",IF(G201="","",IF(G201&lt;TODAY(),"🔴 VENCIDA",IF(G201-TODAY()&lt;=7,"🟡 ATENÇÃO","🟢 OK"))))</f>
        <v/>
      </c>
      <c r="L201" s="25" t="str">
        <f aca="true">IF(G201="","",G201-TODAY())</f>
        <v/>
      </c>
    </row>
    <row r="202" customFormat="false" ht="15" hidden="false" customHeight="true" outlineLevel="0" collapsed="false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4" t="str">
        <f aca="true">IF(H202="Pago","✓ OK",IF(G202="","",IF(G202&lt;TODAY(),"🔴 VENCIDA",IF(G202-TODAY()&lt;=7,"🟡 ATENÇÃO","🟢 OK"))))</f>
        <v/>
      </c>
      <c r="L202" s="25" t="str">
        <f aca="true">IF(G202="","",G202-TODAY())</f>
        <v/>
      </c>
    </row>
    <row r="203" customFormat="false" ht="15" hidden="false" customHeight="true" outlineLevel="0" collapsed="false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4" t="str">
        <f aca="true">IF(H203="Pago","✓ OK",IF(G203="","",IF(G203&lt;TODAY(),"🔴 VENCIDA",IF(G203-TODAY()&lt;=7,"🟡 ATENÇÃO","🟢 OK"))))</f>
        <v/>
      </c>
      <c r="L203" s="25" t="str">
        <f aca="true">IF(G203="","",G203-TODAY())</f>
        <v/>
      </c>
    </row>
    <row r="204" customFormat="false" ht="15" hidden="false" customHeight="true" outlineLevel="0" collapsed="false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4" t="str">
        <f aca="true">IF(H204="Pago","✓ OK",IF(G204="","",IF(G204&lt;TODAY(),"🔴 VENCIDA",IF(G204-TODAY()&lt;=7,"🟡 ATENÇÃO","🟢 OK"))))</f>
        <v/>
      </c>
      <c r="L204" s="25" t="str">
        <f aca="true">IF(G204="","",G204-TODAY())</f>
        <v/>
      </c>
    </row>
  </sheetData>
  <mergeCells count="2">
    <mergeCell ref="A1:L1"/>
    <mergeCell ref="A2:L2"/>
  </mergeCells>
  <conditionalFormatting sqref="K5:K205">
    <cfRule type="expression" priority="2" aboveAverage="0" equalAverage="0" bottom="0" percent="0" rank="0" text="" dxfId="0">
      <formula>ISNUMBER(SEARCH("VENCIDA",K5))</formula>
    </cfRule>
    <cfRule type="expression" priority="3" aboveAverage="0" equalAverage="0" bottom="0" percent="0" rank="0" text="" dxfId="1">
      <formula>ISNUMBER(SEARCH("ATENÇÃO",K5))</formula>
    </cfRule>
    <cfRule type="expression" priority="4" aboveAverage="0" equalAverage="0" bottom="0" percent="0" rank="0" text="" dxfId="2">
      <formula>ISNUMBER(SEARCH("OK",K5))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6" min="5" style="1" width="16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14" t="s">
        <v>124</v>
      </c>
      <c r="B1" s="14"/>
      <c r="C1" s="14"/>
      <c r="D1" s="14"/>
      <c r="E1" s="14"/>
      <c r="F1" s="14"/>
      <c r="G1" s="14"/>
    </row>
    <row r="2" customFormat="false" ht="15" hidden="false" customHeight="true" outlineLevel="0" collapsed="false">
      <c r="A2" s="15" t="s">
        <v>125</v>
      </c>
      <c r="B2" s="15"/>
      <c r="C2" s="15"/>
      <c r="D2" s="15"/>
      <c r="E2" s="15"/>
      <c r="F2" s="15"/>
      <c r="G2" s="15"/>
    </row>
    <row r="4" customFormat="false" ht="24" hidden="false" customHeight="true" outlineLevel="0" collapsed="false">
      <c r="A4" s="18" t="s">
        <v>126</v>
      </c>
      <c r="B4" s="18" t="s">
        <v>28</v>
      </c>
      <c r="C4" s="18" t="s">
        <v>39</v>
      </c>
      <c r="D4" s="18" t="s">
        <v>127</v>
      </c>
      <c r="E4" s="18" t="s">
        <v>128</v>
      </c>
      <c r="F4" s="18" t="s">
        <v>96</v>
      </c>
      <c r="G4" s="18" t="s">
        <v>129</v>
      </c>
    </row>
    <row r="5" customFormat="false" ht="15" hidden="false" customHeight="true" outlineLevel="0" collapsed="false">
      <c r="A5" s="20" t="s">
        <v>130</v>
      </c>
      <c r="B5" s="20" t="s">
        <v>131</v>
      </c>
      <c r="C5" s="20" t="s">
        <v>132</v>
      </c>
      <c r="D5" s="21" t="n">
        <v>2200</v>
      </c>
      <c r="E5" s="23" t="n">
        <v>5</v>
      </c>
      <c r="F5" s="20" t="s">
        <v>102</v>
      </c>
      <c r="G5" s="20" t="s">
        <v>133</v>
      </c>
    </row>
    <row r="6" customFormat="false" ht="23.25" hidden="false" customHeight="true" outlineLevel="0" collapsed="false">
      <c r="A6" s="20" t="s">
        <v>134</v>
      </c>
      <c r="B6" s="20" t="s">
        <v>135</v>
      </c>
      <c r="C6" s="20" t="s">
        <v>55</v>
      </c>
      <c r="D6" s="21" t="n">
        <v>480</v>
      </c>
      <c r="E6" s="23" t="n">
        <v>20</v>
      </c>
      <c r="F6" s="20" t="s">
        <v>136</v>
      </c>
      <c r="G6" s="20" t="s">
        <v>137</v>
      </c>
    </row>
    <row r="7" customFormat="false" ht="23.25" hidden="false" customHeight="true" outlineLevel="0" collapsed="false">
      <c r="A7" s="20" t="s">
        <v>61</v>
      </c>
      <c r="B7" s="20" t="s">
        <v>60</v>
      </c>
      <c r="C7" s="20" t="s">
        <v>60</v>
      </c>
      <c r="D7" s="21" t="n">
        <v>95</v>
      </c>
      <c r="E7" s="23" t="n">
        <v>25</v>
      </c>
      <c r="F7" s="20" t="s">
        <v>136</v>
      </c>
      <c r="G7" s="20"/>
    </row>
    <row r="8" customFormat="false" ht="23.25" hidden="false" customHeight="true" outlineLevel="0" collapsed="false">
      <c r="A8" s="20" t="s">
        <v>138</v>
      </c>
      <c r="B8" s="20" t="s">
        <v>139</v>
      </c>
      <c r="C8" s="20" t="s">
        <v>140</v>
      </c>
      <c r="D8" s="21" t="n">
        <v>75</v>
      </c>
      <c r="E8" s="23" t="n">
        <v>10</v>
      </c>
      <c r="F8" s="20" t="s">
        <v>136</v>
      </c>
      <c r="G8" s="20"/>
    </row>
    <row r="9" customFormat="false" ht="15" hidden="false" customHeight="true" outlineLevel="0" collapsed="false">
      <c r="A9" s="20" t="s">
        <v>141</v>
      </c>
      <c r="B9" s="20" t="s">
        <v>142</v>
      </c>
      <c r="C9" s="20" t="s">
        <v>143</v>
      </c>
      <c r="D9" s="21" t="n">
        <v>350</v>
      </c>
      <c r="E9" s="23" t="n">
        <v>30</v>
      </c>
      <c r="F9" s="20" t="s">
        <v>102</v>
      </c>
      <c r="G9" s="20"/>
    </row>
    <row r="10" customFormat="false" ht="23.25" hidden="false" customHeight="true" outlineLevel="0" collapsed="false">
      <c r="A10" s="20" t="s">
        <v>144</v>
      </c>
      <c r="B10" s="20" t="s">
        <v>145</v>
      </c>
      <c r="C10" s="20" t="s">
        <v>146</v>
      </c>
      <c r="D10" s="21" t="n">
        <v>180</v>
      </c>
      <c r="E10" s="23" t="n">
        <v>5</v>
      </c>
      <c r="F10" s="20" t="s">
        <v>136</v>
      </c>
      <c r="G10" s="20"/>
    </row>
    <row r="11" customFormat="false" ht="15" hidden="false" customHeight="true" outlineLevel="0" collapsed="false">
      <c r="A11" s="20" t="s">
        <v>147</v>
      </c>
      <c r="B11" s="20" t="s">
        <v>148</v>
      </c>
      <c r="C11" s="20" t="s">
        <v>149</v>
      </c>
      <c r="D11" s="21" t="n">
        <v>350</v>
      </c>
      <c r="E11" s="23" t="n">
        <v>30</v>
      </c>
      <c r="F11" s="20" t="s">
        <v>150</v>
      </c>
      <c r="G11" s="20" t="s">
        <v>151</v>
      </c>
    </row>
    <row r="12" customFormat="false" ht="15" hidden="false" customHeight="true" outlineLevel="0" collapsed="false">
      <c r="A12" s="20" t="s">
        <v>152</v>
      </c>
      <c r="B12" s="20" t="s">
        <v>153</v>
      </c>
      <c r="C12" s="20" t="s">
        <v>154</v>
      </c>
      <c r="D12" s="21" t="n">
        <v>60</v>
      </c>
      <c r="E12" s="23" t="n">
        <v>1</v>
      </c>
      <c r="F12" s="20" t="s">
        <v>155</v>
      </c>
      <c r="G12" s="20"/>
    </row>
    <row r="13" customFormat="false" ht="15" hidden="false" customHeight="true" outlineLevel="0" collapsed="false">
      <c r="A13" s="20" t="s">
        <v>156</v>
      </c>
      <c r="B13" s="20" t="s">
        <v>157</v>
      </c>
      <c r="C13" s="20" t="s">
        <v>154</v>
      </c>
      <c r="D13" s="21" t="n">
        <v>200</v>
      </c>
      <c r="E13" s="23" t="n">
        <v>30</v>
      </c>
      <c r="F13" s="20" t="s">
        <v>154</v>
      </c>
      <c r="G13" s="20" t="s">
        <v>158</v>
      </c>
    </row>
    <row r="14" customFormat="false" ht="15" hidden="false" customHeight="true" outlineLevel="0" collapsed="false">
      <c r="A14" s="20" t="s">
        <v>159</v>
      </c>
      <c r="B14" s="20" t="s">
        <v>160</v>
      </c>
      <c r="C14" s="20" t="s">
        <v>161</v>
      </c>
      <c r="D14" s="21" t="n">
        <v>250</v>
      </c>
      <c r="E14" s="23" t="n">
        <v>30</v>
      </c>
      <c r="F14" s="20" t="s">
        <v>102</v>
      </c>
      <c r="G14" s="20"/>
    </row>
    <row r="16" customFormat="false" ht="17.25" hidden="false" customHeight="true" outlineLevel="0" collapsed="false">
      <c r="C16" s="28" t="s">
        <v>162</v>
      </c>
      <c r="D16" s="29" t="n">
        <f aca="false">SUM(D5:D14)</f>
        <v>4240</v>
      </c>
    </row>
    <row r="17" customFormat="false" ht="15" hidden="false" customHeight="true" outlineLevel="0" collapsed="false">
      <c r="C17" s="16" t="s">
        <v>163</v>
      </c>
      <c r="D17" s="30" t="n">
        <f aca="false">D16*12</f>
        <v>50880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8" min="5" style="1" width="14"/>
    <col collapsed="false" customWidth="true" hidden="false" outlineLevel="0" max="9" min="9" style="1" width="28"/>
  </cols>
  <sheetData>
    <row r="1" customFormat="false" ht="27.75" hidden="false" customHeight="true" outlineLevel="0" collapsed="false">
      <c r="A1" s="14" t="s">
        <v>164</v>
      </c>
      <c r="B1" s="14"/>
      <c r="C1" s="14"/>
      <c r="D1" s="14"/>
      <c r="E1" s="14"/>
      <c r="F1" s="14"/>
      <c r="G1" s="14"/>
      <c r="H1" s="14"/>
      <c r="I1" s="14"/>
    </row>
    <row r="2" customFormat="false" ht="15" hidden="false" customHeight="true" outlineLevel="0" collapsed="false">
      <c r="A2" s="15" t="s">
        <v>165</v>
      </c>
      <c r="B2" s="15"/>
      <c r="C2" s="15"/>
      <c r="D2" s="15"/>
      <c r="E2" s="15"/>
      <c r="F2" s="15"/>
      <c r="G2" s="15"/>
      <c r="H2" s="15"/>
      <c r="I2" s="15"/>
    </row>
    <row r="4" customFormat="false" ht="24" hidden="false" customHeight="true" outlineLevel="0" collapsed="false">
      <c r="A4" s="18" t="s">
        <v>27</v>
      </c>
      <c r="B4" s="18" t="s">
        <v>166</v>
      </c>
      <c r="C4" s="18" t="s">
        <v>167</v>
      </c>
      <c r="D4" s="18" t="s">
        <v>30</v>
      </c>
      <c r="E4" s="18" t="s">
        <v>32</v>
      </c>
      <c r="F4" s="18" t="s">
        <v>33</v>
      </c>
      <c r="G4" s="18" t="s">
        <v>34</v>
      </c>
      <c r="H4" s="18" t="s">
        <v>35</v>
      </c>
      <c r="I4" s="18" t="s">
        <v>129</v>
      </c>
    </row>
    <row r="5" customFormat="false" ht="15" hidden="false" customHeight="true" outlineLevel="0" collapsed="false">
      <c r="A5" s="23" t="s">
        <v>168</v>
      </c>
      <c r="B5" s="23" t="s">
        <v>169</v>
      </c>
      <c r="C5" s="23" t="s">
        <v>170</v>
      </c>
      <c r="D5" s="21" t="n">
        <v>3850</v>
      </c>
      <c r="E5" s="22" t="s">
        <v>78</v>
      </c>
      <c r="F5" s="23" t="s">
        <v>48</v>
      </c>
      <c r="G5" s="22" t="s">
        <v>79</v>
      </c>
      <c r="H5" s="24" t="str">
        <f aca="true">IF(F5="Pago","✓ OK",IF(E5="","",IF(E5&lt;TODAY(),"🔴 VENCIDO",IF(E5-TODAY()&lt;=15,"🟡 ATENÇÃO","🟢 OK"))))</f>
        <v>✓ OK</v>
      </c>
      <c r="I5" s="26"/>
    </row>
    <row r="6" customFormat="false" ht="15" hidden="false" customHeight="true" outlineLevel="0" collapsed="false">
      <c r="A6" s="23" t="s">
        <v>171</v>
      </c>
      <c r="B6" s="23" t="s">
        <v>172</v>
      </c>
      <c r="C6" s="23" t="s">
        <v>170</v>
      </c>
      <c r="D6" s="21" t="n">
        <v>980</v>
      </c>
      <c r="E6" s="22" t="s">
        <v>78</v>
      </c>
      <c r="F6" s="23" t="s">
        <v>48</v>
      </c>
      <c r="G6" s="22" t="s">
        <v>79</v>
      </c>
      <c r="H6" s="24" t="str">
        <f aca="true">IF(F6="Pago","✓ OK",IF(E6="","",IF(E6&lt;TODAY(),"🔴 VENCIDO",IF(E6-TODAY()&lt;=15,"🟡 ATENÇÃO","🟢 OK"))))</f>
        <v>✓ OK</v>
      </c>
      <c r="I6" s="26"/>
    </row>
    <row r="7" customFormat="false" ht="15" hidden="false" customHeight="true" outlineLevel="0" collapsed="false">
      <c r="A7" s="23" t="s">
        <v>173</v>
      </c>
      <c r="B7" s="23" t="s">
        <v>174</v>
      </c>
      <c r="C7" s="23" t="s">
        <v>170</v>
      </c>
      <c r="D7" s="21" t="n">
        <v>1200</v>
      </c>
      <c r="E7" s="22" t="s">
        <v>78</v>
      </c>
      <c r="F7" s="23" t="s">
        <v>48</v>
      </c>
      <c r="G7" s="22" t="s">
        <v>79</v>
      </c>
      <c r="H7" s="24" t="str">
        <f aca="true">IF(F7="Pago","✓ OK",IF(E7="","",IF(E7&lt;TODAY(),"🔴 VENCIDO",IF(E7-TODAY()&lt;=15,"🟡 ATENÇÃO","🟢 OK"))))</f>
        <v>✓ OK</v>
      </c>
      <c r="I7" s="26"/>
    </row>
    <row r="8" customFormat="false" ht="15" hidden="false" customHeight="true" outlineLevel="0" collapsed="false">
      <c r="A8" s="23" t="s">
        <v>168</v>
      </c>
      <c r="B8" s="23" t="s">
        <v>169</v>
      </c>
      <c r="C8" s="23" t="s">
        <v>175</v>
      </c>
      <c r="D8" s="21"/>
      <c r="E8" s="22" t="s">
        <v>176</v>
      </c>
      <c r="F8" s="23" t="s">
        <v>43</v>
      </c>
      <c r="G8" s="22"/>
      <c r="H8" s="24" t="str">
        <f aca="true">IF(F8="Pago","✓ OK",IF(E8="","",IF(E8&lt;TODAY(),"🔴 VENCIDO",IF(E8-TODAY()&lt;=15,"🟡 ATENÇÃO","🟢 OK"))))</f>
        <v>🟢 OK</v>
      </c>
      <c r="I8" s="26"/>
    </row>
    <row r="9" customFormat="false" ht="15" hidden="false" customHeight="true" outlineLevel="0" collapsed="false">
      <c r="A9" s="23" t="s">
        <v>171</v>
      </c>
      <c r="B9" s="23" t="s">
        <v>172</v>
      </c>
      <c r="C9" s="23" t="s">
        <v>175</v>
      </c>
      <c r="D9" s="21"/>
      <c r="E9" s="22" t="s">
        <v>176</v>
      </c>
      <c r="F9" s="23" t="s">
        <v>43</v>
      </c>
      <c r="G9" s="22"/>
      <c r="H9" s="24" t="str">
        <f aca="true">IF(F9="Pago","✓ OK",IF(E9="","",IF(E9&lt;TODAY(),"🔴 VENCIDO",IF(E9-TODAY()&lt;=15,"🟡 ATENÇÃO","🟢 OK"))))</f>
        <v>🟢 OK</v>
      </c>
      <c r="I9" s="26"/>
    </row>
    <row r="10" customFormat="false" ht="15" hidden="false" customHeight="true" outlineLevel="0" collapsed="false">
      <c r="A10" s="23" t="s">
        <v>173</v>
      </c>
      <c r="B10" s="23" t="s">
        <v>174</v>
      </c>
      <c r="C10" s="23" t="s">
        <v>175</v>
      </c>
      <c r="D10" s="21"/>
      <c r="E10" s="22" t="s">
        <v>176</v>
      </c>
      <c r="F10" s="23" t="s">
        <v>43</v>
      </c>
      <c r="G10" s="22"/>
      <c r="H10" s="24" t="str">
        <f aca="true">IF(F10="Pago","✓ OK",IF(E10="","",IF(E10&lt;TODAY(),"🔴 VENCIDO",IF(E10-TODAY()&lt;=15,"🟡 ATENÇÃO","🟢 OK"))))</f>
        <v>🟢 OK</v>
      </c>
      <c r="I10" s="26"/>
    </row>
    <row r="11" customFormat="false" ht="15" hidden="false" customHeight="true" outlineLevel="0" collapsed="false">
      <c r="A11" s="23" t="s">
        <v>177</v>
      </c>
      <c r="B11" s="23" t="s">
        <v>178</v>
      </c>
      <c r="C11" s="23" t="s">
        <v>179</v>
      </c>
      <c r="D11" s="21"/>
      <c r="E11" s="22" t="s">
        <v>180</v>
      </c>
      <c r="F11" s="23" t="s">
        <v>48</v>
      </c>
      <c r="G11" s="22" t="s">
        <v>181</v>
      </c>
      <c r="H11" s="24" t="str">
        <f aca="true">IF(F11="Pago","✓ OK",IF(E11="","",IF(E11&lt;TODAY(),"🔴 VENCIDO",IF(E11-TODAY()&lt;=15,"🟡 ATENÇÃO","🟢 OK"))))</f>
        <v>✓ OK</v>
      </c>
      <c r="I11" s="26"/>
    </row>
    <row r="12" customFormat="false" ht="15" hidden="false" customHeight="true" outlineLevel="0" collapsed="false">
      <c r="A12" s="23" t="s">
        <v>182</v>
      </c>
      <c r="B12" s="23" t="s">
        <v>183</v>
      </c>
      <c r="C12" s="23" t="s">
        <v>179</v>
      </c>
      <c r="D12" s="21"/>
      <c r="E12" s="22" t="s">
        <v>184</v>
      </c>
      <c r="F12" s="23" t="s">
        <v>48</v>
      </c>
      <c r="G12" s="22" t="s">
        <v>185</v>
      </c>
      <c r="H12" s="24" t="str">
        <f aca="true">IF(F12="Pago","✓ OK",IF(E12="","",IF(E12&lt;TODAY(),"🔴 VENCIDO",IF(E12-TODAY()&lt;=15,"🟡 ATENÇÃO","🟢 OK"))))</f>
        <v>✓ OK</v>
      </c>
      <c r="I12" s="26"/>
    </row>
    <row r="13" customFormat="false" ht="15" hidden="false" customHeight="true" outlineLevel="0" collapsed="false">
      <c r="A13" s="26"/>
      <c r="B13" s="26"/>
      <c r="C13" s="26"/>
      <c r="D13" s="26"/>
      <c r="E13" s="26"/>
      <c r="F13" s="26"/>
      <c r="G13" s="26"/>
      <c r="H13" s="24" t="str">
        <f aca="true">IF(F13="Pago","✓ OK",IF(E13="","",IF(E13&lt;TODAY(),"🔴 VENCIDO",IF(E13-TODAY()&lt;=15,"🟡 ATENÇÃO","🟢 OK"))))</f>
        <v/>
      </c>
      <c r="I13" s="26"/>
    </row>
    <row r="14" customFormat="false" ht="15" hidden="false" customHeight="true" outlineLevel="0" collapsed="false">
      <c r="A14" s="26"/>
      <c r="B14" s="26"/>
      <c r="C14" s="26"/>
      <c r="D14" s="26"/>
      <c r="E14" s="26"/>
      <c r="F14" s="26"/>
      <c r="G14" s="26"/>
      <c r="H14" s="24" t="str">
        <f aca="true">IF(F14="Pago","✓ OK",IF(E14="","",IF(E14&lt;TODAY(),"🔴 VENCIDO",IF(E14-TODAY()&lt;=15,"🟡 ATENÇÃO","🟢 OK"))))</f>
        <v/>
      </c>
      <c r="I14" s="26"/>
    </row>
    <row r="15" customFormat="false" ht="15" hidden="false" customHeight="true" outlineLevel="0" collapsed="false">
      <c r="A15" s="26"/>
      <c r="B15" s="26"/>
      <c r="C15" s="26"/>
      <c r="D15" s="26"/>
      <c r="E15" s="26"/>
      <c r="F15" s="26"/>
      <c r="G15" s="26"/>
      <c r="H15" s="24" t="str">
        <f aca="true">IF(F15="Pago","✓ OK",IF(E15="","",IF(E15&lt;TODAY(),"🔴 VENCIDO",IF(E15-TODAY()&lt;=15,"🟡 ATENÇÃO","🟢 OK"))))</f>
        <v/>
      </c>
      <c r="I15" s="26"/>
    </row>
    <row r="16" customFormat="false" ht="15" hidden="false" customHeight="true" outlineLevel="0" collapsed="false">
      <c r="A16" s="26"/>
      <c r="B16" s="26"/>
      <c r="C16" s="26"/>
      <c r="D16" s="26"/>
      <c r="E16" s="26"/>
      <c r="F16" s="26"/>
      <c r="G16" s="26"/>
      <c r="H16" s="24" t="str">
        <f aca="true">IF(F16="Pago","✓ OK",IF(E16="","",IF(E16&lt;TODAY(),"🔴 VENCIDO",IF(E16-TODAY()&lt;=15,"🟡 ATENÇÃO","🟢 OK"))))</f>
        <v/>
      </c>
      <c r="I16" s="26"/>
    </row>
    <row r="17" customFormat="false" ht="15" hidden="false" customHeight="true" outlineLevel="0" collapsed="false">
      <c r="A17" s="26"/>
      <c r="B17" s="26"/>
      <c r="C17" s="26"/>
      <c r="D17" s="26"/>
      <c r="E17" s="26"/>
      <c r="F17" s="26"/>
      <c r="G17" s="26"/>
      <c r="H17" s="24" t="str">
        <f aca="true">IF(F17="Pago","✓ OK",IF(E17="","",IF(E17&lt;TODAY(),"🔴 VENCIDO",IF(E17-TODAY()&lt;=15,"🟡 ATENÇÃO","🟢 OK"))))</f>
        <v/>
      </c>
      <c r="I17" s="26"/>
    </row>
    <row r="18" customFormat="false" ht="15" hidden="false" customHeight="true" outlineLevel="0" collapsed="false">
      <c r="A18" s="26"/>
      <c r="B18" s="26"/>
      <c r="C18" s="26"/>
      <c r="D18" s="26"/>
      <c r="E18" s="26"/>
      <c r="F18" s="26"/>
      <c r="G18" s="26"/>
      <c r="H18" s="24" t="str">
        <f aca="true">IF(F18="Pago","✓ OK",IF(E18="","",IF(E18&lt;TODAY(),"🔴 VENCIDO",IF(E18-TODAY()&lt;=15,"🟡 ATENÇÃO","🟢 OK"))))</f>
        <v/>
      </c>
      <c r="I18" s="26"/>
    </row>
    <row r="19" customFormat="false" ht="15" hidden="false" customHeight="true" outlineLevel="0" collapsed="false">
      <c r="A19" s="26"/>
      <c r="B19" s="26"/>
      <c r="C19" s="26"/>
      <c r="D19" s="26"/>
      <c r="E19" s="26"/>
      <c r="F19" s="26"/>
      <c r="G19" s="26"/>
      <c r="H19" s="24" t="str">
        <f aca="true">IF(F19="Pago","✓ OK",IF(E19="","",IF(E19&lt;TODAY(),"🔴 VENCIDO",IF(E19-TODAY()&lt;=15,"🟡 ATENÇÃO","🟢 OK"))))</f>
        <v/>
      </c>
      <c r="I19" s="26"/>
    </row>
    <row r="20" customFormat="false" ht="15" hidden="false" customHeight="true" outlineLevel="0" collapsed="false">
      <c r="A20" s="26"/>
      <c r="B20" s="26"/>
      <c r="C20" s="26"/>
      <c r="D20" s="26"/>
      <c r="E20" s="26"/>
      <c r="F20" s="26"/>
      <c r="G20" s="26"/>
      <c r="H20" s="24" t="str">
        <f aca="true">IF(F20="Pago","✓ OK",IF(E20="","",IF(E20&lt;TODAY(),"🔴 VENCIDO",IF(E20-TODAY()&lt;=15,"🟡 ATENÇÃO","🟢 OK"))))</f>
        <v/>
      </c>
      <c r="I20" s="26"/>
    </row>
    <row r="21" customFormat="false" ht="15" hidden="false" customHeight="true" outlineLevel="0" collapsed="false">
      <c r="A21" s="26"/>
      <c r="B21" s="26"/>
      <c r="C21" s="26"/>
      <c r="D21" s="26"/>
      <c r="E21" s="26"/>
      <c r="F21" s="26"/>
      <c r="G21" s="26"/>
      <c r="H21" s="24" t="str">
        <f aca="true">IF(F21="Pago","✓ OK",IF(E21="","",IF(E21&lt;TODAY(),"🔴 VENCIDO",IF(E21-TODAY()&lt;=15,"🟡 ATENÇÃO","🟢 OK"))))</f>
        <v/>
      </c>
      <c r="I21" s="26"/>
    </row>
    <row r="22" customFormat="false" ht="15" hidden="false" customHeight="true" outlineLevel="0" collapsed="false">
      <c r="A22" s="26"/>
      <c r="B22" s="26"/>
      <c r="C22" s="26"/>
      <c r="D22" s="26"/>
      <c r="E22" s="26"/>
      <c r="F22" s="26"/>
      <c r="G22" s="26"/>
      <c r="H22" s="24" t="str">
        <f aca="true">IF(F22="Pago","✓ OK",IF(E22="","",IF(E22&lt;TODAY(),"🔴 VENCIDO",IF(E22-TODAY()&lt;=15,"🟡 ATENÇÃO","🟢 OK"))))</f>
        <v/>
      </c>
      <c r="I22" s="26"/>
    </row>
    <row r="23" customFormat="false" ht="15" hidden="false" customHeight="true" outlineLevel="0" collapsed="false">
      <c r="A23" s="26"/>
      <c r="B23" s="26"/>
      <c r="C23" s="26"/>
      <c r="D23" s="26"/>
      <c r="E23" s="26"/>
      <c r="F23" s="26"/>
      <c r="G23" s="26"/>
      <c r="H23" s="24" t="str">
        <f aca="true">IF(F23="Pago","✓ OK",IF(E23="","",IF(E23&lt;TODAY(),"🔴 VENCIDO",IF(E23-TODAY()&lt;=15,"🟡 ATENÇÃO","🟢 OK"))))</f>
        <v/>
      </c>
      <c r="I23" s="26"/>
    </row>
    <row r="24" customFormat="false" ht="15" hidden="false" customHeight="true" outlineLevel="0" collapsed="false">
      <c r="A24" s="26"/>
      <c r="B24" s="26"/>
      <c r="C24" s="26"/>
      <c r="D24" s="26"/>
      <c r="E24" s="26"/>
      <c r="F24" s="26"/>
      <c r="G24" s="26"/>
      <c r="H24" s="24" t="str">
        <f aca="true">IF(F24="Pago","✓ OK",IF(E24="","",IF(E24&lt;TODAY(),"🔴 VENCIDO",IF(E24-TODAY()&lt;=15,"🟡 ATENÇÃO","🟢 OK"))))</f>
        <v/>
      </c>
      <c r="I24" s="26"/>
    </row>
    <row r="25" customFormat="false" ht="15" hidden="false" customHeight="true" outlineLevel="0" collapsed="false">
      <c r="A25" s="26"/>
      <c r="B25" s="26"/>
      <c r="C25" s="26"/>
      <c r="D25" s="26"/>
      <c r="E25" s="26"/>
      <c r="F25" s="26"/>
      <c r="G25" s="26"/>
      <c r="H25" s="24" t="str">
        <f aca="true">IF(F25="Pago","✓ OK",IF(E25="","",IF(E25&lt;TODAY(),"🔴 VENCIDO",IF(E25-TODAY()&lt;=15,"🟡 ATENÇÃO","🟢 OK"))))</f>
        <v/>
      </c>
      <c r="I25" s="26"/>
    </row>
    <row r="26" customFormat="false" ht="15" hidden="false" customHeight="true" outlineLevel="0" collapsed="false">
      <c r="A26" s="26"/>
      <c r="B26" s="26"/>
      <c r="C26" s="26"/>
      <c r="D26" s="26"/>
      <c r="E26" s="26"/>
      <c r="F26" s="26"/>
      <c r="G26" s="26"/>
      <c r="H26" s="24" t="str">
        <f aca="true">IF(F26="Pago","✓ OK",IF(E26="","",IF(E26&lt;TODAY(),"🔴 VENCIDO",IF(E26-TODAY()&lt;=15,"🟡 ATENÇÃO","🟢 OK"))))</f>
        <v/>
      </c>
      <c r="I26" s="26"/>
    </row>
    <row r="27" customFormat="false" ht="15" hidden="false" customHeight="true" outlineLevel="0" collapsed="false">
      <c r="A27" s="26"/>
      <c r="B27" s="26"/>
      <c r="C27" s="26"/>
      <c r="D27" s="26"/>
      <c r="E27" s="26"/>
      <c r="F27" s="26"/>
      <c r="G27" s="26"/>
      <c r="H27" s="24" t="str">
        <f aca="true">IF(F27="Pago","✓ OK",IF(E27="","",IF(E27&lt;TODAY(),"🔴 VENCIDO",IF(E27-TODAY()&lt;=15,"🟡 ATENÇÃO","🟢 OK"))))</f>
        <v/>
      </c>
      <c r="I27" s="26"/>
    </row>
    <row r="28" customFormat="false" ht="15" hidden="false" customHeight="true" outlineLevel="0" collapsed="false">
      <c r="A28" s="26"/>
      <c r="B28" s="26"/>
      <c r="C28" s="26"/>
      <c r="D28" s="26"/>
      <c r="E28" s="26"/>
      <c r="F28" s="26"/>
      <c r="G28" s="26"/>
      <c r="H28" s="24" t="str">
        <f aca="true">IF(F28="Pago","✓ OK",IF(E28="","",IF(E28&lt;TODAY(),"🔴 VENCIDO",IF(E28-TODAY()&lt;=15,"🟡 ATENÇÃO","🟢 OK"))))</f>
        <v/>
      </c>
      <c r="I28" s="26"/>
    </row>
    <row r="29" customFormat="false" ht="15" hidden="false" customHeight="true" outlineLevel="0" collapsed="false">
      <c r="A29" s="26"/>
      <c r="B29" s="26"/>
      <c r="C29" s="26"/>
      <c r="D29" s="26"/>
      <c r="E29" s="26"/>
      <c r="F29" s="26"/>
      <c r="G29" s="26"/>
      <c r="H29" s="24" t="str">
        <f aca="true">IF(F29="Pago","✓ OK",IF(E29="","",IF(E29&lt;TODAY(),"🔴 VENCIDO",IF(E29-TODAY()&lt;=15,"🟡 ATENÇÃO","🟢 OK"))))</f>
        <v/>
      </c>
      <c r="I29" s="26"/>
    </row>
    <row r="30" customFormat="false" ht="15" hidden="false" customHeight="true" outlineLevel="0" collapsed="false">
      <c r="A30" s="26"/>
      <c r="B30" s="26"/>
      <c r="C30" s="26"/>
      <c r="D30" s="26"/>
      <c r="E30" s="26"/>
      <c r="F30" s="26"/>
      <c r="G30" s="26"/>
      <c r="H30" s="24" t="str">
        <f aca="true">IF(F30="Pago","✓ OK",IF(E30="","",IF(E30&lt;TODAY(),"🔴 VENCIDO",IF(E30-TODAY()&lt;=15,"🟡 ATENÇÃO","🟢 OK"))))</f>
        <v/>
      </c>
      <c r="I30" s="26"/>
    </row>
    <row r="31" customFormat="false" ht="15" hidden="false" customHeight="true" outlineLevel="0" collapsed="false">
      <c r="A31" s="26"/>
      <c r="B31" s="26"/>
      <c r="C31" s="26"/>
      <c r="D31" s="26"/>
      <c r="E31" s="26"/>
      <c r="F31" s="26"/>
      <c r="G31" s="26"/>
      <c r="H31" s="24" t="str">
        <f aca="true">IF(F31="Pago","✓ OK",IF(E31="","",IF(E31&lt;TODAY(),"🔴 VENCIDO",IF(E31-TODAY()&lt;=15,"🟡 ATENÇÃO","🟢 OK"))))</f>
        <v/>
      </c>
      <c r="I31" s="26"/>
    </row>
    <row r="32" customFormat="false" ht="15" hidden="false" customHeight="true" outlineLevel="0" collapsed="false">
      <c r="A32" s="26"/>
      <c r="B32" s="26"/>
      <c r="C32" s="26"/>
      <c r="D32" s="26"/>
      <c r="E32" s="26"/>
      <c r="F32" s="26"/>
      <c r="G32" s="26"/>
      <c r="H32" s="24" t="str">
        <f aca="true">IF(F32="Pago","✓ OK",IF(E32="","",IF(E32&lt;TODAY(),"🔴 VENCIDO",IF(E32-TODAY()&lt;=15,"🟡 ATENÇÃO","🟢 OK"))))</f>
        <v/>
      </c>
      <c r="I32" s="26"/>
    </row>
    <row r="33" customFormat="false" ht="15" hidden="false" customHeight="true" outlineLevel="0" collapsed="false">
      <c r="A33" s="26"/>
      <c r="B33" s="26"/>
      <c r="C33" s="26"/>
      <c r="D33" s="26"/>
      <c r="E33" s="26"/>
      <c r="F33" s="26"/>
      <c r="G33" s="26"/>
      <c r="H33" s="24" t="str">
        <f aca="true">IF(F33="Pago","✓ OK",IF(E33="","",IF(E33&lt;TODAY(),"🔴 VENCIDO",IF(E33-TODAY()&lt;=15,"🟡 ATENÇÃO","🟢 OK"))))</f>
        <v/>
      </c>
      <c r="I33" s="26"/>
    </row>
    <row r="34" customFormat="false" ht="15" hidden="false" customHeight="true" outlineLevel="0" collapsed="false">
      <c r="A34" s="26"/>
      <c r="B34" s="26"/>
      <c r="C34" s="26"/>
      <c r="D34" s="26"/>
      <c r="E34" s="26"/>
      <c r="F34" s="26"/>
      <c r="G34" s="26"/>
      <c r="H34" s="24" t="str">
        <f aca="true">IF(F34="Pago","✓ OK",IF(E34="","",IF(E34&lt;TODAY(),"🔴 VENCIDO",IF(E34-TODAY()&lt;=15,"🟡 ATENÇÃO","🟢 OK"))))</f>
        <v/>
      </c>
      <c r="I34" s="26"/>
    </row>
  </sheetData>
  <mergeCells count="2">
    <mergeCell ref="A1:I1"/>
    <mergeCell ref="A2:I2"/>
  </mergeCells>
  <conditionalFormatting sqref="H5:H35">
    <cfRule type="expression" priority="2" aboveAverage="0" equalAverage="0" bottom="0" percent="0" rank="0" text="" dxfId="0">
      <formula>ISNUMBER(SEARCH("VENCIDO",H5))</formula>
    </cfRule>
    <cfRule type="expression" priority="3" aboveAverage="0" equalAverage="0" bottom="0" percent="0" rank="0" text="" dxfId="1">
      <formula>ISNUMBER(SEARCH("ATENÇÃO",H5))</formula>
    </cfRule>
    <cfRule type="expression" priority="4" aboveAverage="0" equalAverage="0" bottom="0" percent="0" rank="0" text="" dxfId="2">
      <formula>ISNUMBER(SEARCH("OK",H5))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13" min="2" style="1" width="12"/>
    <col collapsed="false" customWidth="true" hidden="false" outlineLevel="0" max="14" min="14" style="1" width="14"/>
  </cols>
  <sheetData>
    <row r="1" customFormat="false" ht="27.75" hidden="false" customHeight="true" outlineLevel="0" collapsed="false">
      <c r="A1" s="31" t="s">
        <v>186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customFormat="false" ht="15" hidden="false" customHeight="true" outlineLevel="0" collapsed="false">
      <c r="A2" s="3" t="s">
        <v>187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4" hidden="false" customHeight="true" outlineLevel="0" collapsed="false">
      <c r="A4" s="18" t="s">
        <v>126</v>
      </c>
      <c r="B4" s="18" t="s">
        <v>188</v>
      </c>
      <c r="C4" s="18" t="s">
        <v>189</v>
      </c>
      <c r="D4" s="18" t="s">
        <v>190</v>
      </c>
      <c r="E4" s="18" t="s">
        <v>191</v>
      </c>
      <c r="F4" s="18" t="s">
        <v>192</v>
      </c>
      <c r="G4" s="18" t="s">
        <v>193</v>
      </c>
      <c r="H4" s="18" t="s">
        <v>194</v>
      </c>
      <c r="I4" s="18" t="s">
        <v>195</v>
      </c>
      <c r="J4" s="18" t="s">
        <v>196</v>
      </c>
      <c r="K4" s="18" t="s">
        <v>197</v>
      </c>
      <c r="L4" s="18" t="s">
        <v>198</v>
      </c>
      <c r="M4" s="18" t="s">
        <v>199</v>
      </c>
      <c r="N4" s="18" t="s">
        <v>200</v>
      </c>
    </row>
    <row r="5" customFormat="false" ht="15" hidden="false" customHeight="true" outlineLevel="0" collapsed="false">
      <c r="A5" s="32" t="s">
        <v>201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customFormat="false" ht="15" hidden="false" customHeight="true" outlineLevel="0" collapsed="false">
      <c r="A6" s="20" t="s">
        <v>202</v>
      </c>
      <c r="B6" s="34" t="n">
        <v>0</v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0</v>
      </c>
      <c r="H6" s="34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34" t="n">
        <f aca="false">SUM(B6:M6)</f>
        <v>0</v>
      </c>
    </row>
    <row r="7" customFormat="false" ht="15" hidden="false" customHeight="true" outlineLevel="0" collapsed="false">
      <c r="A7" s="20" t="s">
        <v>203</v>
      </c>
      <c r="B7" s="34" t="n">
        <v>0</v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0</v>
      </c>
      <c r="H7" s="34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0</v>
      </c>
      <c r="N7" s="34" t="n">
        <f aca="false">SUM(B7:M7)</f>
        <v>0</v>
      </c>
    </row>
    <row r="8" customFormat="false" ht="15" hidden="false" customHeight="true" outlineLevel="0" collapsed="false">
      <c r="A8" s="20" t="s">
        <v>204</v>
      </c>
      <c r="B8" s="34" t="n">
        <v>0</v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f aca="false">SUM(B8:M8)</f>
        <v>0</v>
      </c>
    </row>
    <row r="9" customFormat="false" ht="15" hidden="false" customHeight="true" outlineLevel="0" collapsed="false">
      <c r="A9" s="20" t="s">
        <v>205</v>
      </c>
      <c r="B9" s="34" t="n">
        <v>0</v>
      </c>
      <c r="C9" s="34" t="n">
        <v>0</v>
      </c>
      <c r="D9" s="34" t="n">
        <v>0</v>
      </c>
      <c r="E9" s="34" t="n">
        <v>0</v>
      </c>
      <c r="F9" s="34" t="n">
        <v>0</v>
      </c>
      <c r="G9" s="34" t="n">
        <v>0</v>
      </c>
      <c r="H9" s="34" t="n">
        <v>0</v>
      </c>
      <c r="I9" s="34" t="n">
        <v>0</v>
      </c>
      <c r="J9" s="34" t="n">
        <v>0</v>
      </c>
      <c r="K9" s="34" t="n">
        <v>0</v>
      </c>
      <c r="L9" s="34" t="n">
        <v>0</v>
      </c>
      <c r="M9" s="34" t="n">
        <v>0</v>
      </c>
      <c r="N9" s="34" t="n">
        <f aca="false">SUM(B9:M9)</f>
        <v>0</v>
      </c>
    </row>
    <row r="10" customFormat="false" ht="15" hidden="false" customHeight="true" outlineLevel="0" collapsed="false">
      <c r="A10" s="20" t="s">
        <v>206</v>
      </c>
      <c r="B10" s="34" t="n">
        <v>0</v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0</v>
      </c>
      <c r="H10" s="34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f aca="false">SUM(B10:M10)</f>
        <v>0</v>
      </c>
    </row>
    <row r="11" customFormat="false" ht="15" hidden="false" customHeight="true" outlineLevel="0" collapsed="false">
      <c r="A11" s="32" t="s">
        <v>207</v>
      </c>
      <c r="B11" s="33" t="n">
        <f aca="false">SUM(B5:B10)</f>
        <v>0</v>
      </c>
      <c r="C11" s="33" t="n">
        <f aca="false">SUM(C5:C10)</f>
        <v>0</v>
      </c>
      <c r="D11" s="33" t="n">
        <f aca="false">SUM(D5:D10)</f>
        <v>0</v>
      </c>
      <c r="E11" s="33" t="n">
        <f aca="false">SUM(E5:E10)</f>
        <v>0</v>
      </c>
      <c r="F11" s="33" t="n">
        <f aca="false">SUM(F5:F10)</f>
        <v>0</v>
      </c>
      <c r="G11" s="33" t="n">
        <f aca="false">SUM(G5:G10)</f>
        <v>0</v>
      </c>
      <c r="H11" s="33" t="n">
        <f aca="false">SUM(H5:H10)</f>
        <v>0</v>
      </c>
      <c r="I11" s="33" t="n">
        <f aca="false">SUM(I5:I10)</f>
        <v>0</v>
      </c>
      <c r="J11" s="33" t="n">
        <f aca="false">SUM(J5:J10)</f>
        <v>0</v>
      </c>
      <c r="K11" s="33" t="n">
        <f aca="false">SUM(K5:K10)</f>
        <v>0</v>
      </c>
      <c r="L11" s="33" t="n">
        <f aca="false">SUM(L5:L10)</f>
        <v>0</v>
      </c>
      <c r="M11" s="33" t="n">
        <f aca="false">SUM(M5:M10)</f>
        <v>0</v>
      </c>
      <c r="N11" s="33" t="n">
        <f aca="false">SUM(B11:M11)</f>
        <v>0</v>
      </c>
    </row>
    <row r="12" customFormat="false" ht="15" hidden="false" customHeight="true" outlineLevel="0" collapsed="false">
      <c r="A12" s="20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 customFormat="false" ht="15" hidden="false" customHeight="true" outlineLevel="0" collapsed="false">
      <c r="A13" s="32" t="s">
        <v>208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customFormat="false" ht="15" hidden="false" customHeight="true" outlineLevel="0" collapsed="false">
      <c r="A14" s="20" t="s">
        <v>209</v>
      </c>
      <c r="B14" s="34" t="n">
        <v>0</v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f aca="false">SUM(B14:M14)</f>
        <v>0</v>
      </c>
    </row>
    <row r="15" customFormat="false" ht="15" hidden="false" customHeight="true" outlineLevel="0" collapsed="false">
      <c r="A15" s="20" t="s">
        <v>210</v>
      </c>
      <c r="B15" s="34" t="n">
        <v>0</v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f aca="false">SUM(B15:M15)</f>
        <v>0</v>
      </c>
    </row>
    <row r="16" customFormat="false" ht="15" hidden="false" customHeight="true" outlineLevel="0" collapsed="false">
      <c r="A16" s="20" t="s">
        <v>211</v>
      </c>
      <c r="B16" s="34" t="n">
        <v>0</v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>
        <f aca="false">SUM(B16:M16)</f>
        <v>0</v>
      </c>
    </row>
    <row r="17" customFormat="false" ht="15" hidden="false" customHeight="true" outlineLevel="0" collapsed="false">
      <c r="A17" s="20" t="s">
        <v>212</v>
      </c>
      <c r="B17" s="34" t="n">
        <v>0</v>
      </c>
      <c r="C17" s="34" t="n">
        <v>0</v>
      </c>
      <c r="D17" s="34" t="n">
        <v>0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s="34" t="n">
        <v>0</v>
      </c>
      <c r="N17" s="34" t="n">
        <f aca="false">SUM(B17:M17)</f>
        <v>0</v>
      </c>
    </row>
    <row r="18" customFormat="false" ht="15" hidden="false" customHeight="true" outlineLevel="0" collapsed="false">
      <c r="A18" s="20" t="s">
        <v>213</v>
      </c>
      <c r="B18" s="34" t="n">
        <v>0</v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>
        <f aca="false">SUM(B18:M18)</f>
        <v>0</v>
      </c>
    </row>
    <row r="19" customFormat="false" ht="15" hidden="false" customHeight="true" outlineLevel="0" collapsed="false">
      <c r="A19" s="20" t="s">
        <v>214</v>
      </c>
      <c r="B19" s="34" t="n">
        <v>0</v>
      </c>
      <c r="C19" s="34" t="n">
        <v>0</v>
      </c>
      <c r="D19" s="34" t="n">
        <v>0</v>
      </c>
      <c r="E19" s="34" t="n">
        <v>0</v>
      </c>
      <c r="F19" s="34" t="n">
        <v>0</v>
      </c>
      <c r="G19" s="34" t="n">
        <v>0</v>
      </c>
      <c r="H19" s="34" t="n">
        <v>0</v>
      </c>
      <c r="I19" s="34" t="n">
        <v>0</v>
      </c>
      <c r="J19" s="34" t="n">
        <v>0</v>
      </c>
      <c r="K19" s="34" t="n">
        <v>0</v>
      </c>
      <c r="L19" s="34" t="n">
        <v>0</v>
      </c>
      <c r="M19" s="34" t="n">
        <v>0</v>
      </c>
      <c r="N19" s="34" t="n">
        <f aca="false">SUM(B19:M19)</f>
        <v>0</v>
      </c>
    </row>
    <row r="20" customFormat="false" ht="15" hidden="false" customHeight="true" outlineLevel="0" collapsed="false">
      <c r="A20" s="20" t="s">
        <v>215</v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f aca="false">SUM(B20:M20)</f>
        <v>0</v>
      </c>
    </row>
    <row r="21" customFormat="false" ht="15" hidden="false" customHeight="true" outlineLevel="0" collapsed="false">
      <c r="A21" s="20" t="s">
        <v>216</v>
      </c>
      <c r="B21" s="34" t="n">
        <v>0</v>
      </c>
      <c r="C21" s="34" t="n">
        <v>0</v>
      </c>
      <c r="D21" s="34" t="n">
        <v>0</v>
      </c>
      <c r="E21" s="34" t="n">
        <v>0</v>
      </c>
      <c r="F21" s="34" t="n">
        <v>0</v>
      </c>
      <c r="G21" s="34" t="n">
        <v>0</v>
      </c>
      <c r="H21" s="34" t="n">
        <v>0</v>
      </c>
      <c r="I21" s="34" t="n">
        <v>0</v>
      </c>
      <c r="J21" s="34" t="n">
        <v>0</v>
      </c>
      <c r="K21" s="34" t="n">
        <v>0</v>
      </c>
      <c r="L21" s="34" t="n">
        <v>0</v>
      </c>
      <c r="M21" s="34" t="n">
        <v>0</v>
      </c>
      <c r="N21" s="34" t="n">
        <f aca="false">SUM(B21:M21)</f>
        <v>0</v>
      </c>
    </row>
    <row r="22" customFormat="false" ht="15" hidden="false" customHeight="true" outlineLevel="0" collapsed="false">
      <c r="A22" s="20" t="s">
        <v>217</v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>
        <f aca="false">SUM(B22:M22)</f>
        <v>0</v>
      </c>
    </row>
    <row r="23" customFormat="false" ht="15" hidden="false" customHeight="true" outlineLevel="0" collapsed="false">
      <c r="A23" s="20" t="s">
        <v>218</v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34" t="n"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  <c r="N23" s="34" t="n">
        <f aca="false">SUM(B23:M23)</f>
        <v>0</v>
      </c>
    </row>
    <row r="24" customFormat="false" ht="15" hidden="false" customHeight="true" outlineLevel="0" collapsed="false">
      <c r="A24" s="32" t="s">
        <v>219</v>
      </c>
      <c r="B24" s="33" t="n">
        <f aca="false">SUM(B13:B22)</f>
        <v>0</v>
      </c>
      <c r="C24" s="33" t="n">
        <f aca="false">SUM(C13:C22)</f>
        <v>0</v>
      </c>
      <c r="D24" s="33" t="n">
        <f aca="false">SUM(D13:D22)</f>
        <v>0</v>
      </c>
      <c r="E24" s="33" t="n">
        <f aca="false">SUM(E13:E22)</f>
        <v>0</v>
      </c>
      <c r="F24" s="33" t="n">
        <f aca="false">SUM(F13:F22)</f>
        <v>0</v>
      </c>
      <c r="G24" s="33" t="n">
        <f aca="false">SUM(G13:G22)</f>
        <v>0</v>
      </c>
      <c r="H24" s="33" t="n">
        <f aca="false">SUM(H13:H22)</f>
        <v>0</v>
      </c>
      <c r="I24" s="33" t="n">
        <f aca="false">SUM(I13:I22)</f>
        <v>0</v>
      </c>
      <c r="J24" s="33" t="n">
        <f aca="false">SUM(J13:J22)</f>
        <v>0</v>
      </c>
      <c r="K24" s="33" t="n">
        <f aca="false">SUM(K13:K22)</f>
        <v>0</v>
      </c>
      <c r="L24" s="33" t="n">
        <f aca="false">SUM(L13:L22)</f>
        <v>0</v>
      </c>
      <c r="M24" s="33" t="n">
        <f aca="false">SUM(M13:M22)</f>
        <v>0</v>
      </c>
      <c r="N24" s="33" t="n">
        <f aca="false">SUM(B24:M24)</f>
        <v>0</v>
      </c>
    </row>
    <row r="25" customFormat="false" ht="15" hidden="false" customHeight="true" outlineLevel="0" collapsed="false">
      <c r="A25" s="20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customFormat="false" ht="15" hidden="false" customHeight="true" outlineLevel="0" collapsed="false">
      <c r="A26" s="32" t="s">
        <v>220</v>
      </c>
      <c r="B26" s="33" t="n">
        <f aca="false">B11-B23</f>
        <v>0</v>
      </c>
      <c r="C26" s="33" t="n">
        <f aca="false">C11-C23</f>
        <v>0</v>
      </c>
      <c r="D26" s="33" t="n">
        <f aca="false">D11-D23</f>
        <v>0</v>
      </c>
      <c r="E26" s="33" t="n">
        <f aca="false">E11-E23</f>
        <v>0</v>
      </c>
      <c r="F26" s="33" t="n">
        <f aca="false">F11-F23</f>
        <v>0</v>
      </c>
      <c r="G26" s="33" t="n">
        <f aca="false">G11-G23</f>
        <v>0</v>
      </c>
      <c r="H26" s="33" t="n">
        <f aca="false">H11-H23</f>
        <v>0</v>
      </c>
      <c r="I26" s="33" t="n">
        <f aca="false">I11-I23</f>
        <v>0</v>
      </c>
      <c r="J26" s="33" t="n">
        <f aca="false">J11-J23</f>
        <v>0</v>
      </c>
      <c r="K26" s="33" t="n">
        <f aca="false">K11-K23</f>
        <v>0</v>
      </c>
      <c r="L26" s="33" t="n">
        <f aca="false">L11-L23</f>
        <v>0</v>
      </c>
      <c r="M26" s="33" t="n">
        <f aca="false">M11-M23</f>
        <v>0</v>
      </c>
      <c r="N26" s="33" t="n">
        <f aca="false">SUM(B26:M26)</f>
        <v>0</v>
      </c>
    </row>
    <row r="27" customFormat="false" ht="15" hidden="false" customHeight="true" outlineLevel="0" collapsed="false">
      <c r="A27" s="32" t="s">
        <v>221</v>
      </c>
      <c r="B27" s="33" t="n">
        <f aca="false">B25</f>
        <v>0</v>
      </c>
      <c r="C27" s="33" t="n">
        <f aca="false">B26+C25</f>
        <v>0</v>
      </c>
      <c r="D27" s="33" t="n">
        <f aca="false">C26+D25</f>
        <v>0</v>
      </c>
      <c r="E27" s="33" t="n">
        <f aca="false">D26+E25</f>
        <v>0</v>
      </c>
      <c r="F27" s="33" t="n">
        <f aca="false">E26+F25</f>
        <v>0</v>
      </c>
      <c r="G27" s="33" t="n">
        <f aca="false">F26+G25</f>
        <v>0</v>
      </c>
      <c r="H27" s="33" t="n">
        <f aca="false">G26+H25</f>
        <v>0</v>
      </c>
      <c r="I27" s="33" t="n">
        <f aca="false">H26+I25</f>
        <v>0</v>
      </c>
      <c r="J27" s="33" t="n">
        <f aca="false">I26+J25</f>
        <v>0</v>
      </c>
      <c r="K27" s="33" t="n">
        <f aca="false">J26+K25</f>
        <v>0</v>
      </c>
      <c r="L27" s="33" t="n">
        <f aca="false">K26+L25</f>
        <v>0</v>
      </c>
      <c r="M27" s="33" t="n">
        <f aca="false">L26+M25</f>
        <v>0</v>
      </c>
      <c r="N27" s="33" t="n">
        <f aca="false">SUM(B27:M27)</f>
        <v>0</v>
      </c>
    </row>
  </sheetData>
  <mergeCells count="2">
    <mergeCell ref="A1:N1"/>
    <mergeCell ref="A2:N2"/>
  </mergeCells>
  <conditionalFormatting sqref="B25:M26">
    <cfRule type="cellIs" priority="2" operator="lessThan" aboveAverage="0" equalAverage="0" bottom="0" percent="0" rank="0" text="" dxfId="3">
      <formula>0</formula>
    </cfRule>
    <cfRule type="cellIs" priority="3" operator="greater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2026-05-15T14:06:25Z</dcterms:created>
  <dc:creator>openpyxl</dc:creator>
  <dc:description/>
  <dc:language>en-US</dc:language>
  <cp:lastModifiedBy/>
  <dcterms:modified xsi:type="dcterms:W3CDTF">2026-05-15T14:06:41Z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